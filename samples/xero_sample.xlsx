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6456f06842906/Desktop/KDM/2026/"/>
    </mc:Choice>
  </mc:AlternateContent>
  <xr:revisionPtr revIDLastSave="0" documentId="8_{3865510D-458F-6147-888B-2FEC2C974256}" xr6:coauthVersionLast="47" xr6:coauthVersionMax="47" xr10:uidLastSave="{00000000-0000-0000-0000-000000000000}"/>
  <bookViews>
    <workbookView xWindow="-255" yWindow="0" windowWidth="20490" windowHeight="10890" activeTab="1" xr2:uid="{276B41F3-2C57-401C-9B68-AB6C1D640B5E}"/>
  </bookViews>
  <sheets>
    <sheet name="KETU 18-SEP-26          " sheetId="1" r:id="rId1"/>
    <sheet name="LEKKI 18-SEP-26          " sheetId="3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3" l="1"/>
  <c r="I85" i="3"/>
  <c r="G85" i="3"/>
  <c r="H84" i="3"/>
  <c r="I84" i="3"/>
  <c r="G84" i="3"/>
  <c r="H83" i="3"/>
  <c r="I83" i="3"/>
  <c r="G83" i="3"/>
  <c r="H82" i="3"/>
  <c r="I82" i="3"/>
  <c r="G82" i="3"/>
  <c r="H81" i="3"/>
  <c r="I81" i="3"/>
  <c r="G81" i="3"/>
  <c r="H80" i="3"/>
  <c r="I80" i="3"/>
  <c r="G80" i="3"/>
  <c r="H79" i="3"/>
  <c r="I79" i="3"/>
  <c r="G79" i="3"/>
  <c r="H78" i="3"/>
  <c r="I78" i="3"/>
  <c r="G78" i="3"/>
  <c r="H77" i="3"/>
  <c r="I77" i="3"/>
  <c r="G77" i="3"/>
  <c r="H76" i="3"/>
  <c r="I76" i="3"/>
  <c r="G76" i="3"/>
  <c r="H75" i="3"/>
  <c r="I75" i="3"/>
  <c r="G75" i="3"/>
  <c r="H74" i="3"/>
  <c r="I74" i="3"/>
  <c r="G74" i="3"/>
  <c r="H73" i="3"/>
  <c r="I73" i="3"/>
  <c r="G73" i="3"/>
  <c r="H72" i="3"/>
  <c r="I72" i="3"/>
  <c r="G72" i="3"/>
  <c r="H71" i="3"/>
  <c r="I71" i="3"/>
  <c r="G71" i="3"/>
  <c r="H70" i="3"/>
  <c r="I70" i="3"/>
  <c r="G70" i="3"/>
  <c r="H69" i="3"/>
  <c r="I69" i="3"/>
  <c r="G69" i="3"/>
  <c r="H68" i="3"/>
  <c r="I68" i="3"/>
  <c r="G68" i="3"/>
  <c r="H67" i="3"/>
  <c r="I67" i="3"/>
  <c r="G67" i="3"/>
  <c r="H66" i="3"/>
  <c r="I66" i="3"/>
  <c r="G66" i="3"/>
  <c r="H65" i="3"/>
  <c r="I65" i="3"/>
  <c r="G65" i="3"/>
  <c r="H64" i="3"/>
  <c r="I64" i="3"/>
  <c r="G64" i="3"/>
  <c r="H63" i="3"/>
  <c r="I63" i="3"/>
  <c r="G63" i="3"/>
  <c r="H62" i="3"/>
  <c r="I62" i="3"/>
  <c r="G62" i="3"/>
  <c r="H61" i="3"/>
  <c r="I61" i="3"/>
  <c r="G61" i="3"/>
  <c r="H60" i="3"/>
  <c r="I60" i="3"/>
  <c r="G60" i="3"/>
  <c r="H59" i="3"/>
  <c r="I59" i="3"/>
  <c r="G59" i="3"/>
  <c r="H58" i="3"/>
  <c r="I58" i="3"/>
  <c r="G58" i="3"/>
  <c r="H57" i="3"/>
  <c r="I57" i="3"/>
  <c r="G57" i="3"/>
  <c r="H56" i="3"/>
  <c r="I56" i="3"/>
  <c r="G56" i="3"/>
  <c r="H55" i="3"/>
  <c r="I55" i="3"/>
  <c r="G55" i="3"/>
  <c r="H54" i="3"/>
  <c r="I54" i="3"/>
  <c r="G54" i="3"/>
  <c r="H53" i="3"/>
  <c r="I53" i="3"/>
  <c r="G53" i="3"/>
  <c r="H52" i="3"/>
  <c r="I52" i="3"/>
  <c r="G52" i="3"/>
  <c r="H51" i="3"/>
  <c r="I51" i="3"/>
  <c r="G51" i="3"/>
  <c r="H50" i="3"/>
  <c r="I50" i="3"/>
  <c r="G50" i="3"/>
  <c r="H49" i="3"/>
  <c r="I49" i="3"/>
  <c r="G49" i="3"/>
  <c r="H48" i="3"/>
  <c r="I48" i="3"/>
  <c r="G48" i="3"/>
  <c r="H47" i="3"/>
  <c r="I47" i="3"/>
  <c r="G47" i="3"/>
  <c r="H46" i="3"/>
  <c r="I46" i="3"/>
  <c r="G46" i="3"/>
  <c r="H45" i="3"/>
  <c r="I45" i="3"/>
  <c r="G45" i="3"/>
  <c r="H44" i="3"/>
  <c r="I44" i="3"/>
  <c r="G44" i="3"/>
  <c r="H43" i="3"/>
  <c r="I43" i="3"/>
  <c r="G43" i="3"/>
  <c r="H42" i="3"/>
  <c r="I42" i="3"/>
  <c r="G42" i="3"/>
  <c r="H41" i="3"/>
  <c r="I41" i="3"/>
  <c r="G41" i="3"/>
  <c r="H40" i="3"/>
  <c r="I40" i="3"/>
  <c r="G40" i="3"/>
  <c r="H39" i="3"/>
  <c r="I39" i="3"/>
  <c r="G39" i="3"/>
  <c r="H38" i="3"/>
  <c r="I38" i="3"/>
  <c r="G38" i="3"/>
  <c r="H37" i="3"/>
  <c r="I37" i="3"/>
  <c r="G37" i="3"/>
  <c r="H36" i="3"/>
  <c r="I36" i="3"/>
  <c r="G36" i="3"/>
  <c r="H35" i="3"/>
  <c r="I35" i="3"/>
  <c r="G35" i="3"/>
  <c r="H34" i="3"/>
  <c r="I34" i="3"/>
  <c r="G34" i="3"/>
  <c r="H33" i="3"/>
  <c r="I33" i="3"/>
  <c r="G33" i="3"/>
  <c r="H32" i="3"/>
  <c r="I32" i="3"/>
  <c r="G32" i="3"/>
  <c r="H31" i="3"/>
  <c r="I31" i="3"/>
  <c r="G31" i="3"/>
  <c r="H30" i="3"/>
  <c r="I30" i="3"/>
  <c r="G30" i="3"/>
  <c r="H29" i="3"/>
  <c r="I29" i="3"/>
  <c r="G29" i="3"/>
  <c r="H28" i="3"/>
  <c r="I28" i="3"/>
  <c r="G28" i="3"/>
  <c r="H27" i="3"/>
  <c r="I27" i="3"/>
  <c r="G27" i="3"/>
  <c r="H26" i="3"/>
  <c r="I26" i="3"/>
  <c r="G26" i="3"/>
  <c r="H25" i="3"/>
  <c r="I25" i="3"/>
  <c r="G25" i="3"/>
  <c r="H24" i="3"/>
  <c r="I24" i="3"/>
  <c r="G24" i="3"/>
  <c r="H23" i="3"/>
  <c r="I23" i="3"/>
  <c r="G23" i="3"/>
  <c r="H22" i="3"/>
  <c r="I22" i="3"/>
  <c r="G22" i="3"/>
  <c r="H21" i="3"/>
  <c r="I21" i="3"/>
  <c r="G21" i="3"/>
  <c r="H20" i="3"/>
  <c r="I20" i="3"/>
  <c r="G20" i="3"/>
  <c r="H19" i="3"/>
  <c r="I19" i="3"/>
  <c r="G19" i="3"/>
  <c r="H18" i="3"/>
  <c r="I18" i="3"/>
  <c r="G18" i="3"/>
  <c r="H17" i="3"/>
  <c r="I17" i="3"/>
  <c r="G17" i="3"/>
  <c r="H16" i="3"/>
  <c r="I16" i="3"/>
  <c r="G16" i="3"/>
  <c r="H15" i="3"/>
  <c r="I15" i="3"/>
  <c r="G15" i="3"/>
  <c r="H14" i="3"/>
  <c r="I14" i="3"/>
  <c r="G14" i="3"/>
  <c r="H13" i="3"/>
  <c r="I13" i="3"/>
  <c r="G13" i="3"/>
  <c r="H12" i="3"/>
  <c r="I12" i="3"/>
  <c r="G12" i="3"/>
  <c r="H11" i="3"/>
  <c r="I11" i="3"/>
  <c r="G11" i="3"/>
  <c r="H10" i="3"/>
  <c r="I10" i="3"/>
  <c r="G10" i="3"/>
  <c r="H9" i="3"/>
  <c r="I9" i="3"/>
  <c r="G9" i="3"/>
  <c r="H8" i="3"/>
  <c r="I8" i="3"/>
  <c r="G8" i="3"/>
  <c r="H7" i="3"/>
  <c r="I7" i="3"/>
  <c r="G7" i="3"/>
  <c r="H6" i="3"/>
  <c r="I6" i="3"/>
  <c r="G6" i="3"/>
  <c r="H5" i="3"/>
  <c r="I5" i="3"/>
  <c r="G5" i="3"/>
  <c r="H4" i="3"/>
  <c r="G4" i="3"/>
  <c r="H59" i="1"/>
  <c r="G59" i="1"/>
  <c r="L58" i="1"/>
  <c r="K58" i="1"/>
  <c r="J58" i="1"/>
  <c r="I58" i="1"/>
  <c r="L57" i="1"/>
  <c r="K57" i="1"/>
  <c r="J57" i="1"/>
  <c r="L56" i="1"/>
  <c r="K56" i="1"/>
  <c r="I56" i="1"/>
  <c r="L55" i="1"/>
  <c r="K55" i="1"/>
  <c r="I55" i="1"/>
  <c r="L54" i="1"/>
  <c r="K54" i="1"/>
  <c r="I54" i="1"/>
  <c r="L53" i="1"/>
  <c r="K53" i="1"/>
  <c r="I53" i="1"/>
  <c r="L52" i="1"/>
  <c r="K52" i="1"/>
  <c r="J52" i="1"/>
  <c r="L51" i="1"/>
  <c r="K51" i="1"/>
  <c r="I51" i="1"/>
  <c r="L50" i="1"/>
  <c r="K50" i="1"/>
  <c r="I50" i="1"/>
  <c r="L49" i="1"/>
  <c r="K49" i="1"/>
  <c r="I49" i="1"/>
  <c r="L48" i="1"/>
  <c r="K48" i="1"/>
  <c r="I48" i="1"/>
  <c r="L47" i="1"/>
  <c r="K47" i="1"/>
  <c r="J47" i="1"/>
  <c r="I47" i="1"/>
  <c r="I46" i="1"/>
  <c r="L45" i="1"/>
  <c r="K45" i="1"/>
  <c r="I45" i="1"/>
  <c r="L44" i="1"/>
  <c r="K44" i="1"/>
  <c r="J44" i="1"/>
  <c r="L43" i="1"/>
  <c r="K43" i="1"/>
  <c r="I43" i="1"/>
  <c r="L42" i="1"/>
  <c r="K42" i="1"/>
  <c r="I42" i="1"/>
  <c r="L41" i="1"/>
  <c r="K41" i="1"/>
  <c r="I41" i="1"/>
  <c r="L40" i="1"/>
  <c r="K40" i="1"/>
  <c r="J40" i="1"/>
  <c r="L39" i="1"/>
  <c r="K39" i="1"/>
  <c r="I39" i="1"/>
  <c r="L38" i="1"/>
  <c r="K38" i="1"/>
  <c r="J38" i="1"/>
  <c r="I38" i="1"/>
  <c r="L37" i="1"/>
  <c r="K37" i="1"/>
  <c r="I37" i="1"/>
  <c r="L36" i="1"/>
  <c r="K36" i="1"/>
  <c r="I36" i="1"/>
  <c r="L35" i="1"/>
  <c r="K35" i="1"/>
  <c r="I35" i="1"/>
  <c r="L34" i="1"/>
  <c r="K34" i="1"/>
  <c r="J34" i="1"/>
  <c r="L33" i="1"/>
  <c r="K33" i="1"/>
  <c r="I33" i="1"/>
  <c r="L32" i="1"/>
  <c r="K32" i="1"/>
  <c r="I32" i="1"/>
  <c r="L31" i="1"/>
  <c r="K31" i="1"/>
  <c r="I31" i="1"/>
  <c r="L30" i="1"/>
  <c r="K30" i="1"/>
  <c r="I30" i="1"/>
  <c r="L29" i="1"/>
  <c r="K29" i="1"/>
  <c r="I29" i="1"/>
  <c r="L28" i="1"/>
  <c r="K28" i="1"/>
  <c r="J28" i="1"/>
  <c r="I28" i="1"/>
  <c r="L27" i="1"/>
  <c r="K27" i="1"/>
  <c r="I27" i="1"/>
  <c r="L26" i="1"/>
  <c r="K26" i="1"/>
  <c r="I26" i="1"/>
  <c r="L25" i="1"/>
  <c r="K25" i="1"/>
  <c r="I25" i="1"/>
  <c r="L24" i="1"/>
  <c r="K24" i="1"/>
  <c r="J24" i="1"/>
  <c r="L23" i="1"/>
  <c r="K23" i="1"/>
  <c r="I23" i="1"/>
  <c r="L22" i="1"/>
  <c r="K22" i="1"/>
  <c r="I22" i="1"/>
  <c r="L21" i="1"/>
  <c r="K21" i="1"/>
  <c r="J21" i="1"/>
  <c r="I20" i="1"/>
  <c r="L19" i="1"/>
  <c r="K19" i="1"/>
  <c r="I19" i="1"/>
  <c r="L18" i="1"/>
  <c r="I18" i="1"/>
  <c r="L17" i="1"/>
  <c r="K17" i="1"/>
  <c r="I17" i="1"/>
  <c r="L16" i="1"/>
  <c r="K16" i="1"/>
  <c r="I16" i="1"/>
  <c r="L15" i="1"/>
  <c r="K15" i="1"/>
  <c r="I15" i="1"/>
  <c r="L14" i="1"/>
  <c r="K14" i="1"/>
  <c r="J14" i="1"/>
  <c r="L13" i="1"/>
  <c r="K13" i="1"/>
  <c r="I13" i="1"/>
  <c r="L12" i="1"/>
  <c r="I12" i="1"/>
  <c r="L11" i="1"/>
  <c r="K11" i="1"/>
  <c r="I11" i="1"/>
  <c r="L10" i="1"/>
  <c r="K10" i="1"/>
  <c r="I10" i="1"/>
  <c r="L9" i="1"/>
  <c r="K9" i="1"/>
  <c r="I9" i="1"/>
  <c r="L8" i="1"/>
  <c r="K8" i="1"/>
  <c r="I8" i="1"/>
  <c r="L7" i="1"/>
  <c r="K7" i="1"/>
  <c r="I7" i="1"/>
  <c r="L6" i="1"/>
  <c r="L60" i="1"/>
  <c r="K6" i="1"/>
  <c r="I6" i="1"/>
  <c r="I59" i="1"/>
  <c r="I5" i="1"/>
  <c r="I60" i="1"/>
  <c r="L85" i="3"/>
  <c r="M85" i="3"/>
  <c r="N85" i="3"/>
  <c r="O85" i="3"/>
  <c r="K85" i="3"/>
  <c r="J85" i="3"/>
  <c r="L84" i="3"/>
  <c r="M84" i="3"/>
  <c r="N84" i="3"/>
  <c r="O84" i="3"/>
  <c r="J84" i="3"/>
  <c r="K84" i="3"/>
  <c r="J83" i="3"/>
  <c r="L83" i="3"/>
  <c r="M83" i="3"/>
  <c r="N83" i="3"/>
  <c r="O83" i="3"/>
  <c r="K83" i="3"/>
  <c r="J82" i="3"/>
  <c r="K82" i="3"/>
  <c r="L82" i="3"/>
  <c r="M82" i="3"/>
  <c r="L81" i="3"/>
  <c r="M81" i="3"/>
  <c r="K81" i="3"/>
  <c r="J81" i="3"/>
  <c r="L80" i="3"/>
  <c r="M80" i="3"/>
  <c r="K80" i="3"/>
  <c r="J80" i="3"/>
  <c r="L79" i="3"/>
  <c r="M79" i="3"/>
  <c r="J79" i="3"/>
  <c r="K79" i="3"/>
  <c r="J78" i="3"/>
  <c r="K78" i="3"/>
  <c r="L78" i="3"/>
  <c r="M78" i="3"/>
  <c r="L77" i="3"/>
  <c r="M77" i="3"/>
  <c r="K77" i="3"/>
  <c r="J77" i="3"/>
  <c r="L76" i="3"/>
  <c r="M76" i="3"/>
  <c r="N76" i="3"/>
  <c r="O76" i="3"/>
  <c r="K76" i="3"/>
  <c r="J76" i="3"/>
  <c r="L75" i="3"/>
  <c r="M75" i="3"/>
  <c r="N75" i="3"/>
  <c r="O75" i="3"/>
  <c r="K75" i="3"/>
  <c r="J75" i="3"/>
  <c r="L74" i="3"/>
  <c r="M74" i="3"/>
  <c r="N74" i="3"/>
  <c r="O74" i="3"/>
  <c r="J74" i="3"/>
  <c r="K74" i="3"/>
  <c r="L73" i="3"/>
  <c r="M73" i="3"/>
  <c r="N73" i="3"/>
  <c r="O73" i="3"/>
  <c r="K73" i="3"/>
  <c r="J73" i="3"/>
  <c r="L72" i="3"/>
  <c r="M72" i="3"/>
  <c r="J72" i="3"/>
  <c r="K72" i="3"/>
  <c r="K71" i="3"/>
  <c r="J71" i="3"/>
  <c r="L71" i="3"/>
  <c r="M71" i="3"/>
  <c r="K70" i="3"/>
  <c r="L70" i="3"/>
  <c r="M70" i="3"/>
  <c r="N70" i="3"/>
  <c r="O70" i="3"/>
  <c r="J70" i="3"/>
  <c r="L69" i="3"/>
  <c r="M69" i="3"/>
  <c r="N69" i="3"/>
  <c r="O69" i="3"/>
  <c r="K69" i="3"/>
  <c r="J69" i="3"/>
  <c r="L68" i="3"/>
  <c r="M68" i="3"/>
  <c r="N68" i="3"/>
  <c r="O68" i="3"/>
  <c r="J68" i="3"/>
  <c r="K68" i="3"/>
  <c r="K67" i="3"/>
  <c r="J67" i="3"/>
  <c r="L67" i="3"/>
  <c r="M67" i="3"/>
  <c r="N67" i="3"/>
  <c r="O67" i="3"/>
  <c r="L66" i="3"/>
  <c r="M66" i="3"/>
  <c r="N66" i="3"/>
  <c r="O66" i="3"/>
  <c r="J66" i="3"/>
  <c r="K66" i="3"/>
  <c r="L65" i="3"/>
  <c r="M65" i="3"/>
  <c r="N65" i="3"/>
  <c r="O65" i="3"/>
  <c r="J65" i="3"/>
  <c r="K65" i="3"/>
  <c r="K64" i="3"/>
  <c r="J64" i="3"/>
  <c r="L64" i="3"/>
  <c r="M64" i="3"/>
  <c r="N64" i="3"/>
  <c r="O64" i="3"/>
  <c r="J63" i="3"/>
  <c r="K63" i="3"/>
  <c r="L63" i="3"/>
  <c r="M63" i="3"/>
  <c r="N63" i="3"/>
  <c r="O63" i="3"/>
  <c r="J62" i="3"/>
  <c r="K62" i="3"/>
  <c r="L62" i="3"/>
  <c r="M62" i="3"/>
  <c r="N62" i="3"/>
  <c r="O62" i="3"/>
  <c r="L61" i="3"/>
  <c r="M61" i="3"/>
  <c r="N61" i="3"/>
  <c r="O61" i="3"/>
  <c r="K61" i="3"/>
  <c r="J61" i="3"/>
  <c r="J60" i="3"/>
  <c r="K60" i="3"/>
  <c r="L60" i="3"/>
  <c r="M60" i="3"/>
  <c r="N60" i="3"/>
  <c r="O60" i="3"/>
  <c r="L59" i="3"/>
  <c r="M59" i="3"/>
  <c r="N59" i="3"/>
  <c r="O59" i="3"/>
  <c r="K59" i="3"/>
  <c r="J59" i="3"/>
  <c r="K58" i="3"/>
  <c r="L58" i="3"/>
  <c r="M58" i="3"/>
  <c r="N58" i="3"/>
  <c r="O58" i="3"/>
  <c r="J58" i="3"/>
  <c r="L57" i="3"/>
  <c r="M57" i="3"/>
  <c r="N57" i="3"/>
  <c r="O57" i="3"/>
  <c r="K57" i="3"/>
  <c r="J57" i="3"/>
  <c r="J56" i="3"/>
  <c r="K56" i="3"/>
  <c r="L56" i="3"/>
  <c r="M56" i="3"/>
  <c r="N56" i="3"/>
  <c r="O56" i="3"/>
  <c r="L55" i="3"/>
  <c r="M55" i="3"/>
  <c r="N55" i="3"/>
  <c r="O55" i="3"/>
  <c r="K55" i="3"/>
  <c r="J55" i="3"/>
  <c r="J54" i="3"/>
  <c r="L54" i="3"/>
  <c r="M54" i="3"/>
  <c r="N54" i="3"/>
  <c r="O54" i="3"/>
  <c r="K54" i="3"/>
  <c r="L53" i="3"/>
  <c r="M53" i="3"/>
  <c r="N53" i="3"/>
  <c r="O53" i="3"/>
  <c r="K53" i="3"/>
  <c r="J53" i="3"/>
  <c r="L52" i="3"/>
  <c r="M52" i="3"/>
  <c r="N52" i="3"/>
  <c r="O52" i="3"/>
  <c r="K52" i="3"/>
  <c r="J52" i="3"/>
  <c r="J51" i="3"/>
  <c r="L51" i="3"/>
  <c r="M51" i="3"/>
  <c r="N51" i="3"/>
  <c r="O51" i="3"/>
  <c r="K51" i="3"/>
  <c r="L50" i="3"/>
  <c r="M50" i="3"/>
  <c r="N50" i="3"/>
  <c r="O50" i="3"/>
  <c r="K50" i="3"/>
  <c r="J50" i="3"/>
  <c r="J49" i="3"/>
  <c r="K49" i="3"/>
  <c r="L49" i="3"/>
  <c r="M49" i="3"/>
  <c r="N49" i="3"/>
  <c r="O49" i="3"/>
  <c r="L48" i="3"/>
  <c r="M48" i="3"/>
  <c r="N48" i="3"/>
  <c r="O48" i="3"/>
  <c r="K48" i="3"/>
  <c r="J48" i="3"/>
  <c r="L47" i="3"/>
  <c r="M47" i="3"/>
  <c r="N47" i="3"/>
  <c r="O47" i="3"/>
  <c r="K47" i="3"/>
  <c r="J47" i="3"/>
  <c r="L46" i="3"/>
  <c r="M46" i="3"/>
  <c r="N46" i="3"/>
  <c r="O46" i="3"/>
  <c r="K46" i="3"/>
  <c r="J46" i="3"/>
  <c r="L45" i="3"/>
  <c r="M45" i="3"/>
  <c r="N45" i="3"/>
  <c r="O45" i="3"/>
  <c r="J45" i="3"/>
  <c r="K45" i="3"/>
  <c r="L44" i="3"/>
  <c r="M44" i="3"/>
  <c r="N44" i="3"/>
  <c r="O44" i="3"/>
  <c r="K44" i="3"/>
  <c r="J44" i="3"/>
  <c r="J43" i="3"/>
  <c r="K43" i="3"/>
  <c r="L43" i="3"/>
  <c r="M43" i="3"/>
  <c r="N43" i="3"/>
  <c r="O43" i="3"/>
  <c r="J42" i="3"/>
  <c r="K42" i="3"/>
  <c r="L42" i="3"/>
  <c r="M42" i="3"/>
  <c r="N42" i="3"/>
  <c r="O42" i="3"/>
  <c r="J41" i="3"/>
  <c r="L41" i="3"/>
  <c r="M41" i="3"/>
  <c r="N41" i="3"/>
  <c r="O41" i="3"/>
  <c r="K41" i="3"/>
  <c r="J40" i="3"/>
  <c r="K40" i="3"/>
  <c r="L40" i="3"/>
  <c r="M40" i="3"/>
  <c r="N40" i="3"/>
  <c r="O40" i="3"/>
  <c r="J39" i="3"/>
  <c r="L39" i="3"/>
  <c r="M39" i="3"/>
  <c r="N39" i="3"/>
  <c r="O39" i="3"/>
  <c r="K39" i="3"/>
  <c r="L38" i="3"/>
  <c r="M38" i="3"/>
  <c r="N38" i="3"/>
  <c r="O38" i="3"/>
  <c r="K38" i="3"/>
  <c r="J38" i="3"/>
  <c r="L37" i="3"/>
  <c r="M37" i="3"/>
  <c r="N37" i="3"/>
  <c r="O37" i="3"/>
  <c r="K37" i="3"/>
  <c r="J37" i="3"/>
  <c r="J36" i="3"/>
  <c r="K36" i="3"/>
  <c r="L36" i="3"/>
  <c r="M36" i="3"/>
  <c r="N36" i="3"/>
  <c r="O36" i="3"/>
  <c r="K35" i="3"/>
  <c r="J35" i="3"/>
  <c r="L35" i="3"/>
  <c r="M35" i="3"/>
  <c r="N35" i="3"/>
  <c r="O35" i="3"/>
  <c r="L34" i="3"/>
  <c r="M34" i="3"/>
  <c r="N34" i="3"/>
  <c r="O34" i="3"/>
  <c r="K34" i="3"/>
  <c r="J34" i="3"/>
  <c r="K33" i="3"/>
  <c r="L33" i="3"/>
  <c r="M33" i="3"/>
  <c r="N33" i="3"/>
  <c r="O33" i="3"/>
  <c r="J33" i="3"/>
  <c r="K32" i="3"/>
  <c r="J32" i="3"/>
  <c r="L32" i="3"/>
  <c r="M32" i="3"/>
  <c r="N32" i="3"/>
  <c r="O32" i="3"/>
  <c r="L31" i="3"/>
  <c r="M31" i="3"/>
  <c r="N31" i="3"/>
  <c r="O31" i="3"/>
  <c r="K31" i="3"/>
  <c r="J31" i="3"/>
  <c r="L30" i="3"/>
  <c r="M30" i="3"/>
  <c r="N30" i="3"/>
  <c r="O30" i="3"/>
  <c r="K30" i="3"/>
  <c r="J30" i="3"/>
  <c r="L29" i="3"/>
  <c r="M29" i="3"/>
  <c r="N29" i="3"/>
  <c r="O29" i="3"/>
  <c r="K29" i="3"/>
  <c r="J29" i="3"/>
  <c r="J28" i="3"/>
  <c r="K28" i="3"/>
  <c r="L28" i="3"/>
  <c r="M28" i="3"/>
  <c r="N28" i="3"/>
  <c r="O28" i="3"/>
  <c r="L27" i="3"/>
  <c r="M27" i="3"/>
  <c r="N27" i="3"/>
  <c r="O27" i="3"/>
  <c r="K27" i="3"/>
  <c r="J27" i="3"/>
  <c r="J26" i="3"/>
  <c r="L26" i="3"/>
  <c r="M26" i="3"/>
  <c r="N26" i="3"/>
  <c r="O26" i="3"/>
  <c r="K26" i="3"/>
  <c r="L25" i="3"/>
  <c r="M25" i="3"/>
  <c r="N25" i="3"/>
  <c r="O25" i="3"/>
  <c r="K25" i="3"/>
  <c r="J25" i="3"/>
  <c r="L24" i="3"/>
  <c r="M24" i="3"/>
  <c r="N24" i="3"/>
  <c r="O24" i="3"/>
  <c r="K24" i="3"/>
  <c r="J24" i="3"/>
  <c r="L23" i="3"/>
  <c r="M23" i="3"/>
  <c r="N23" i="3"/>
  <c r="O23" i="3"/>
  <c r="K23" i="3"/>
  <c r="J23" i="3"/>
  <c r="L22" i="3"/>
  <c r="M22" i="3"/>
  <c r="N22" i="3"/>
  <c r="O22" i="3"/>
  <c r="J22" i="3"/>
  <c r="K22" i="3"/>
  <c r="L21" i="3"/>
  <c r="M21" i="3"/>
  <c r="N21" i="3"/>
  <c r="O21" i="3"/>
  <c r="K21" i="3"/>
  <c r="J21" i="3"/>
  <c r="K20" i="3"/>
  <c r="L20" i="3"/>
  <c r="M20" i="3"/>
  <c r="N20" i="3"/>
  <c r="O20" i="3"/>
  <c r="J20" i="3"/>
  <c r="J19" i="3"/>
  <c r="K19" i="3"/>
  <c r="L19" i="3"/>
  <c r="M19" i="3"/>
  <c r="N19" i="3"/>
  <c r="O19" i="3"/>
  <c r="K18" i="3"/>
  <c r="L18" i="3"/>
  <c r="M18" i="3"/>
  <c r="N18" i="3"/>
  <c r="O18" i="3"/>
  <c r="J18" i="3"/>
  <c r="J17" i="3"/>
  <c r="K17" i="3"/>
  <c r="L17" i="3"/>
  <c r="M17" i="3"/>
  <c r="N17" i="3"/>
  <c r="O17" i="3"/>
  <c r="K16" i="3"/>
  <c r="L16" i="3"/>
  <c r="M16" i="3"/>
  <c r="N16" i="3"/>
  <c r="O16" i="3"/>
  <c r="J16" i="3"/>
  <c r="J15" i="3"/>
  <c r="K15" i="3"/>
  <c r="L15" i="3"/>
  <c r="M15" i="3"/>
  <c r="N15" i="3"/>
  <c r="O15" i="3"/>
  <c r="J14" i="3"/>
  <c r="K14" i="3"/>
  <c r="L14" i="3"/>
  <c r="M14" i="3"/>
  <c r="N14" i="3"/>
  <c r="O14" i="3"/>
  <c r="L13" i="3"/>
  <c r="M13" i="3"/>
  <c r="N13" i="3"/>
  <c r="O13" i="3"/>
  <c r="J13" i="3"/>
  <c r="K13" i="3"/>
  <c r="L12" i="3"/>
  <c r="M12" i="3"/>
  <c r="N12" i="3"/>
  <c r="O12" i="3"/>
  <c r="K12" i="3"/>
  <c r="J12" i="3"/>
  <c r="J11" i="3"/>
  <c r="K11" i="3"/>
  <c r="L11" i="3"/>
  <c r="M11" i="3"/>
  <c r="N11" i="3"/>
  <c r="O11" i="3"/>
  <c r="L10" i="3"/>
  <c r="M10" i="3"/>
  <c r="N10" i="3"/>
  <c r="O10" i="3"/>
  <c r="K10" i="3"/>
  <c r="J10" i="3"/>
  <c r="L9" i="3"/>
  <c r="M9" i="3"/>
  <c r="N9" i="3"/>
  <c r="O9" i="3"/>
  <c r="J9" i="3"/>
  <c r="K9" i="3"/>
  <c r="L8" i="3"/>
  <c r="M8" i="3"/>
  <c r="N8" i="3"/>
  <c r="O8" i="3"/>
  <c r="K8" i="3"/>
  <c r="J8" i="3"/>
  <c r="J7" i="3"/>
  <c r="L7" i="3"/>
  <c r="M7" i="3"/>
  <c r="N7" i="3"/>
  <c r="O7" i="3"/>
  <c r="K7" i="3"/>
  <c r="L6" i="3"/>
  <c r="M6" i="3"/>
  <c r="N6" i="3"/>
  <c r="O6" i="3"/>
  <c r="K6" i="3"/>
  <c r="J6" i="3"/>
  <c r="J5" i="3"/>
  <c r="K5" i="3"/>
  <c r="L5" i="3"/>
  <c r="M5" i="3"/>
  <c r="N5" i="3"/>
  <c r="O5" i="3"/>
  <c r="H86" i="3"/>
  <c r="I4" i="3"/>
  <c r="G86" i="3"/>
  <c r="L4" i="3"/>
  <c r="K4" i="3"/>
  <c r="J4" i="3"/>
  <c r="J60" i="1"/>
  <c r="J59" i="1"/>
  <c r="I2" i="3"/>
  <c r="I86" i="3"/>
  <c r="I87" i="3"/>
  <c r="M4" i="3"/>
  <c r="L86" i="3"/>
  <c r="J2" i="3"/>
  <c r="J86" i="3"/>
  <c r="J87" i="3"/>
  <c r="N4" i="3"/>
  <c r="M86" i="3"/>
  <c r="O4" i="3"/>
  <c r="O86" i="3"/>
  <c r="N86" i="3"/>
</calcChain>
</file>

<file path=xl/sharedStrings.xml><?xml version="1.0" encoding="utf-8"?>
<sst xmlns="http://schemas.openxmlformats.org/spreadsheetml/2006/main" count="301" uniqueCount="216">
  <si>
    <t>Item Code</t>
  </si>
  <si>
    <t>Item Name</t>
  </si>
  <si>
    <t>Unit Sale Price</t>
  </si>
  <si>
    <t>XERO</t>
  </si>
  <si>
    <t>LEVEREDGE</t>
  </si>
  <si>
    <t>SHORTAGE</t>
  </si>
  <si>
    <t>SURPLUS</t>
  </si>
  <si>
    <t>sellable &amp;Forward cases</t>
  </si>
  <si>
    <t>forward sold price</t>
  </si>
  <si>
    <t>65225884</t>
  </si>
  <si>
    <t>CLOSEUP CFP 36X130G RC PROMO</t>
  </si>
  <si>
    <t>69654190</t>
  </si>
  <si>
    <t>CLOSEUP COMP. FRESH PROTECT 36X130G</t>
  </si>
  <si>
    <t>62768295</t>
  </si>
  <si>
    <t>CLOSEUP COMPLETE FRESH 72X35G</t>
  </si>
  <si>
    <t>65225883</t>
  </si>
  <si>
    <t>CLOSEUP COMPLETE FRESH 72X35G RC PROMO</t>
  </si>
  <si>
    <t>65439627</t>
  </si>
  <si>
    <t>CLOSEUP TF REDHOT RC PROMO 50X130G</t>
  </si>
  <si>
    <t>64817465</t>
  </si>
  <si>
    <t>CLOSEUP TOOTHPASTE TRIPLE FRESH 4X8X175G</t>
  </si>
  <si>
    <t>68275727</t>
  </si>
  <si>
    <t>CLOSEUP TP EVERFRESH GRN 50 X 140G</t>
  </si>
  <si>
    <t>65762767</t>
  </si>
  <si>
    <t>CLOSEUP TP EVERFRESH GRN 50 X 140G LOCAL</t>
  </si>
  <si>
    <t>65640762</t>
  </si>
  <si>
    <t>CLOSEUP TP TRIPLE FRESH RH 264X8.5</t>
  </si>
  <si>
    <t>62729974</t>
  </si>
  <si>
    <t>CLOSEUP TRIPLE FRESH 72X35G</t>
  </si>
  <si>
    <t>69790471</t>
  </si>
  <si>
    <t>CLOSEUP TRIPLE FRESH RED HOT 50X90G</t>
  </si>
  <si>
    <t>69790460</t>
  </si>
  <si>
    <t>CLOSEUP TRIPLE FRESH REDHOT 50X130G</t>
  </si>
  <si>
    <t>69578306</t>
  </si>
  <si>
    <t>KNORR BEEF 20X20X8G</t>
  </si>
  <si>
    <t>69578271</t>
  </si>
  <si>
    <t>KNORR CHICKEN 20X20X8G</t>
  </si>
  <si>
    <t>64401562</t>
  </si>
  <si>
    <t>KNORR BEEF BTF 14X50X8G</t>
  </si>
  <si>
    <t>68137064</t>
  </si>
  <si>
    <t>KNORR BEEF CHAPPAL 40X12X8G</t>
  </si>
  <si>
    <t>64401568</t>
  </si>
  <si>
    <t>KNORR CHICKEN BTF14X50X8G</t>
  </si>
  <si>
    <t>64888305</t>
  </si>
  <si>
    <t>KNORR CHICKEN POWDER 12X360G</t>
  </si>
  <si>
    <t>65737461</t>
  </si>
  <si>
    <t>KNORR PARTY JOLLOF SEASONING 13X10X10G</t>
  </si>
  <si>
    <t>64997466</t>
  </si>
  <si>
    <t>PEARS BABY LOTION 4X(10X200ML) - PROMO</t>
  </si>
  <si>
    <t>32797230</t>
  </si>
  <si>
    <t>PEARS BABY OIL RELAUNCH 4X(10x200ML)</t>
  </si>
  <si>
    <t>65436912</t>
  </si>
  <si>
    <t>PEPSODENT 123 130G + PEP CHAR 50X120G</t>
  </si>
  <si>
    <t>64864641</t>
  </si>
  <si>
    <t>PEPSODENT 3 PROTECT COML. 24X2X130G</t>
  </si>
  <si>
    <t>69654193</t>
  </si>
  <si>
    <t>PEPSODENT 3 PROTECTION COMPL. 50X130G</t>
  </si>
  <si>
    <t>69655756</t>
  </si>
  <si>
    <t>PEPSODENT CAVITY FIGHTER 240X8.5G</t>
  </si>
  <si>
    <t>69654208</t>
  </si>
  <si>
    <t>PEPSODENT CAVITY FIGHTER 50 X 130G</t>
  </si>
  <si>
    <t>65436915</t>
  </si>
  <si>
    <t>PEPSODENT CF 264X8.5G +1STR PEP CHAR</t>
  </si>
  <si>
    <t>64819114</t>
  </si>
  <si>
    <t>PEPSODENT THPASTE 123 COMPLETE 4X8X175G</t>
  </si>
  <si>
    <t>64943267</t>
  </si>
  <si>
    <t>PEPSODENT TOOTHPASTE CHARCOAL 240 X 8.5G</t>
  </si>
  <si>
    <t>64807107</t>
  </si>
  <si>
    <t>PEPSODENT TOOTHPASTE CHARCOAL 50X120G</t>
  </si>
  <si>
    <t>65640765</t>
  </si>
  <si>
    <t>PEPSODENT TP CAVITY FIGHTER 264X8.5G</t>
  </si>
  <si>
    <t>62768303</t>
  </si>
  <si>
    <t>PEPSODENT TRIPLE COMPL 72X35G</t>
  </si>
  <si>
    <t>7791293049250</t>
  </si>
  <si>
    <t>REXONA AP MEN B/SPRAY ACTIVE DRY 72HRS 200ML X 12</t>
  </si>
  <si>
    <t>7791293046624</t>
  </si>
  <si>
    <t>REXONA AP MEN B/SPRAY ANTIBACTER 72HRS 200ML X 12</t>
  </si>
  <si>
    <t>65623826</t>
  </si>
  <si>
    <t>REXONA BRIGHT BOUQUET RO 4X6X46ML</t>
  </si>
  <si>
    <t>65623814</t>
  </si>
  <si>
    <t>REXONA MEN SPORT DEF RO 4X6X46ML</t>
  </si>
  <si>
    <t>69972130</t>
  </si>
  <si>
    <t>REXONA MEN SPORT DEF RO 4X6X50ML</t>
  </si>
  <si>
    <t>65623820</t>
  </si>
  <si>
    <t>REXONA MEN XTRACOOL RO 4X6X46ML</t>
  </si>
  <si>
    <t>69975975</t>
  </si>
  <si>
    <t>REXONA MEN XTRACOOL RO 4X6X50ML</t>
  </si>
  <si>
    <t>65623832</t>
  </si>
  <si>
    <t>REXONA SHOWER FRESH RO 4X6X46ML</t>
  </si>
  <si>
    <t>69972153</t>
  </si>
  <si>
    <t>REXONA WM BRIGHT BOUQUET 4X6X50ML</t>
  </si>
  <si>
    <t>67568581</t>
  </si>
  <si>
    <t>ROYCO BEEF MANDARA 20X100X4G</t>
  </si>
  <si>
    <t>69972162</t>
  </si>
  <si>
    <t>REXONA WOMEN SHOWER FRESH RO 4X6X50ML</t>
  </si>
  <si>
    <t>32050304</t>
  </si>
  <si>
    <t>VASELINE BLUESEAL ORIG PJ 24X12X50ML</t>
  </si>
  <si>
    <t>69983845</t>
  </si>
  <si>
    <t>VASELINE BLUESEAL ORIGNL PJ 4X(6X400ML)</t>
  </si>
  <si>
    <t>69983850</t>
  </si>
  <si>
    <t>VASELINE BLUESEAL ORIGNL PJ 6X(6X225ML)</t>
  </si>
  <si>
    <t>21087115</t>
  </si>
  <si>
    <t>VASELINE BODY LOTION ADV REP UF 6X400ML</t>
  </si>
  <si>
    <t>21087112</t>
  </si>
  <si>
    <t>VASELINE BODY LOTION ALOE SOOTHE 6X400ML</t>
  </si>
  <si>
    <t>21087113</t>
  </si>
  <si>
    <t>VASELINE BODY LOTION COCOA GLOW  6 x 400ML</t>
  </si>
  <si>
    <t>21087111</t>
  </si>
  <si>
    <t>VASELINE BODY LOTION DRYSKINREP 6X400ML</t>
  </si>
  <si>
    <t>20204888</t>
  </si>
  <si>
    <t>VASELINE BODY LOTION EVENTONE B3 6X400ML</t>
  </si>
  <si>
    <t>20268731</t>
  </si>
  <si>
    <t>VASELINE BODY LOTION MEN EXTSTRN 6X400ML</t>
  </si>
  <si>
    <t>65596179</t>
  </si>
  <si>
    <t>VASELINE BS COCOA BUTTER PJ 24X12X45ML</t>
  </si>
  <si>
    <t>8886467039997</t>
  </si>
  <si>
    <t>VASELINE INTENSIVE CARE COCOA  RADIANT OIL  200ml</t>
  </si>
  <si>
    <t>TOTAL CASES</t>
  </si>
  <si>
    <t>TOTAL VALUE</t>
  </si>
  <si>
    <t xml:space="preserve">  shortage cases👇</t>
  </si>
  <si>
    <t>surplus👇</t>
  </si>
  <si>
    <t>RENUZI LEKKI VARIANT REPORT</t>
  </si>
  <si>
    <t>RUN MONTHLY PROCESS</t>
  </si>
  <si>
    <t>xero</t>
  </si>
  <si>
    <t>leveredge</t>
  </si>
  <si>
    <t>shortage</t>
  </si>
  <si>
    <t>surplus</t>
  </si>
  <si>
    <t>AUG</t>
  </si>
  <si>
    <t>SEP</t>
  </si>
  <si>
    <t>OCT</t>
  </si>
  <si>
    <t>CLOSEUP COMPLETE FRESH 72 X 35G</t>
  </si>
  <si>
    <t>CLOSEUP COMPLETE FRESH 72 X 35G RC PROMO</t>
  </si>
  <si>
    <t>68359397</t>
  </si>
  <si>
    <t>CLOSEUP COMPLETE FRESH PROTECT 36X140G</t>
  </si>
  <si>
    <t>68353982</t>
  </si>
  <si>
    <t>CLOSEUP COMPLETE FRESH PROTECT 48X40G</t>
  </si>
  <si>
    <t>CLOSEUP TF REDHOT RC PROMO 50X130</t>
  </si>
  <si>
    <t>62729982</t>
  </si>
  <si>
    <t>CLOSEUP TP TRIPLE FRESH RH 240X8.5G</t>
  </si>
  <si>
    <t>CLOSEUP TP TRIPPLE FRESH RH 264X8.5G</t>
  </si>
  <si>
    <t>CLOSEUP TRIPLE FRESH RED HOT 50 X 90G</t>
  </si>
  <si>
    <t>CLOSEUP TRIPLE FRESH REDHOT 72 X 35G</t>
  </si>
  <si>
    <t>64925742</t>
  </si>
  <si>
    <t>CLOSEUP TRIPLEFRESH REDHOT 50x(130g+25g)</t>
  </si>
  <si>
    <t>65230070</t>
  </si>
  <si>
    <t>KNORR BEEF BTF 100X4G</t>
  </si>
  <si>
    <t>64298579</t>
  </si>
  <si>
    <t>KNORR BEEF BTF 17X40X8G</t>
  </si>
  <si>
    <t>KNORR BEEF BTF 40X12X8G</t>
  </si>
  <si>
    <t>32797212</t>
  </si>
  <si>
    <t>KNORR BEEF BULK PACK 3X2G</t>
  </si>
  <si>
    <t>KNORR CHICKEN BTF 14X50X8G</t>
  </si>
  <si>
    <t>68137086</t>
  </si>
  <si>
    <t>KNORR CHICKEN BTF 40X12X8G</t>
  </si>
  <si>
    <t>67300841</t>
  </si>
  <si>
    <t>KNORR CHICKEN POWDER FORTI 12X400G</t>
  </si>
  <si>
    <t>67300844</t>
  </si>
  <si>
    <t>KNORR CHICKEN POWDER FORTI 6X800G</t>
  </si>
  <si>
    <t>67363284</t>
  </si>
  <si>
    <t>PEARS BABY JELLY 40X225G</t>
  </si>
  <si>
    <t>32797229</t>
  </si>
  <si>
    <t>PEARS BABY LOTION RELAUNCH 4X10X200ML</t>
  </si>
  <si>
    <t>PEARS BABY OIL RELAUNCH 4X10X200ML</t>
  </si>
  <si>
    <t>64317330</t>
  </si>
  <si>
    <t>PEPSODENT 123 COMP 72X35G+STRING PROMO</t>
  </si>
  <si>
    <t>PEPSODENT 3 PROTECT COMPL. 24X2X130G</t>
  </si>
  <si>
    <t>PEPSODENT CAVITY FIGHTER 50X130G</t>
  </si>
  <si>
    <t>PEPSODENT TRIPLE COMPL 72 X 35G</t>
  </si>
  <si>
    <t>7791293046662</t>
  </si>
  <si>
    <t>REXONA AP MEN B/SPRAY ANTIBA 10X 72HRS 200ML X 12</t>
  </si>
  <si>
    <t>7791293046631</t>
  </si>
  <si>
    <t>REXONA AP MEN B/SPRAY FOOTBAL FAN 72HRS 200ML X 12</t>
  </si>
  <si>
    <t>7791293049267</t>
  </si>
  <si>
    <t>REXONA AP MEN B/SPRAY SPORT 72HRS 200ML X 12</t>
  </si>
  <si>
    <t>7791293046655</t>
  </si>
  <si>
    <t>REXONA AP MEN B/SPRAY V8 72HRS 200ML X 12</t>
  </si>
  <si>
    <t>7791293046648</t>
  </si>
  <si>
    <t>REXONA AP MEN B/SPRAY XTRACOOL 72HRS 200ML X 12</t>
  </si>
  <si>
    <t>7791293046716</t>
  </si>
  <si>
    <t>REXONA AP WM B/SPRAY ANTIBA 10X 72HRS 200ML X 12</t>
  </si>
  <si>
    <t>7791293046693</t>
  </si>
  <si>
    <t>REXONA AP WM B/SPRAY BAMBO&amp;ALOE 72HRS 200ML X 12</t>
  </si>
  <si>
    <t>7791293049656</t>
  </si>
  <si>
    <t>REXONA AP WM B/SPRAY BIORYTHM 72HRS 200ML X 12</t>
  </si>
  <si>
    <t>7791293046686</t>
  </si>
  <si>
    <t>REXONA AP WM B/SPRAY COTTON DRY 72HRS 200ML X 12</t>
  </si>
  <si>
    <t>7791293046679</t>
  </si>
  <si>
    <t>REXONA AP WM B/SPRAY INVISIBLE 72HRS BW 200ML X 12</t>
  </si>
  <si>
    <t>7791293046709</t>
  </si>
  <si>
    <t>REXONA AP WM B/SPRAY POWDER DRY 72HRS 200ML X 12</t>
  </si>
  <si>
    <t>7791293049229</t>
  </si>
  <si>
    <t>REXONA AP WM B/SPRAY SEXY BOUQUET 72HRS 200ML X 12</t>
  </si>
  <si>
    <t>7791293049663</t>
  </si>
  <si>
    <t>REXONA AP WM B/SPRAY SHOWER FRESH 72HRS 200ML X 12</t>
  </si>
  <si>
    <t>7791293049236</t>
  </si>
  <si>
    <t>REXONA AP WM B/SPRAY SPORT 72HRS 200ML X 12</t>
  </si>
  <si>
    <t>69639541</t>
  </si>
  <si>
    <t>Rexona Men Deo Aer Ap Xtra cool 12-200ml</t>
  </si>
  <si>
    <t>64797692</t>
  </si>
  <si>
    <t>ROYCO BEEF BULK 5X500X4G</t>
  </si>
  <si>
    <t>67612716</t>
  </si>
  <si>
    <t>ROYCO BULK 3X500X4G</t>
  </si>
  <si>
    <t>65596186</t>
  </si>
  <si>
    <t>VASELINE BS ALOE FRESH 24X12X45ML</t>
  </si>
  <si>
    <t>65454451</t>
  </si>
  <si>
    <t>VASELINE ALOE FRESH 6X(6X220ML)</t>
  </si>
  <si>
    <t>65454443</t>
  </si>
  <si>
    <t>VASELINE COCOA BUTTER 6X(6X220ML)</t>
  </si>
  <si>
    <t>VASELINE BODY LOTION ADVANCE REPAIR 8X6X400ML</t>
  </si>
  <si>
    <t>64997464</t>
  </si>
  <si>
    <t>VASELINE BLUESEAL ORIG PJ 6X(6X225ML) - PROMO</t>
  </si>
  <si>
    <t>VASELINE BODY LOTION ALOE SOOTHE 8X6X400ML</t>
  </si>
  <si>
    <t>VASELINE LOT COCOA GLOW CA 6 x 400ML</t>
  </si>
  <si>
    <t>VASELINE BODY LOTION DRYSKINREP 8X6X400ML</t>
  </si>
  <si>
    <t>VASELINE BODY LOTION EVENTONE 8X6X400ML</t>
  </si>
  <si>
    <t>VASELINE BODY LOTION MEN EXTSTRN 8X6X400ML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</si>
</sst>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\(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Black"/>
    </font>
    <font>
      <b/>
      <sz val="9"/>
      <color rgb="FFFF0000"/>
      <name val="Aptos Black"/>
    </font>
    <font>
      <b/>
      <sz val="9"/>
      <color rgb="FF00B050"/>
      <name val="Aptos Black"/>
    </font>
    <font>
      <sz val="9"/>
      <color theme="1"/>
      <name val="Arial"/>
    </font>
    <font>
      <b/>
      <sz val="9"/>
      <color theme="1"/>
      <name val="Arial"/>
      <family val="2"/>
    </font>
    <font>
      <sz val="9"/>
      <color theme="1"/>
      <name val="Franklin Gothic Heavy"/>
      <family val="2"/>
    </font>
    <font>
      <sz val="9"/>
      <color theme="1"/>
      <name val="Franklin Gothic Book"/>
      <family val="2"/>
    </font>
    <font>
      <sz val="9"/>
      <color rgb="FFFF0000"/>
      <name val="Franklin Gothic Heavy"/>
      <family val="2"/>
    </font>
    <font>
      <sz val="9"/>
      <color rgb="FF00B050"/>
      <name val="Franklin Gothic Heavy"/>
      <family val="2"/>
    </font>
    <font>
      <b/>
      <sz val="12"/>
      <color theme="1"/>
      <name val="Franklin Gothic Heavy"/>
      <family val="2"/>
    </font>
    <font>
      <b/>
      <sz val="11"/>
      <color theme="1"/>
      <name val="Franklin Gothic Heavy"/>
      <family val="2"/>
    </font>
    <font>
      <b/>
      <sz val="11"/>
      <color theme="1"/>
      <name val="Franklin Gothic Book"/>
      <family val="2"/>
    </font>
    <font>
      <b/>
      <sz val="11"/>
      <color rgb="FFFF0000"/>
      <name val="Franklin Gothic Heavy"/>
      <family val="2"/>
    </font>
    <font>
      <b/>
      <sz val="11"/>
      <color rgb="FF00B050"/>
      <name val="Franklin Gothic Heavy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74">
    <xf numFmtId="0" fontId="0" fillId="0" borderId="0" xfId="0"/>
    <xf numFmtId="0" fontId="2" fillId="0" borderId="0" xfId="0" applyFont="1"/>
    <xf numFmtId="15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4" borderId="8" xfId="0" applyFont="1" applyFill="1" applyBorder="1"/>
    <xf numFmtId="164" fontId="3" fillId="4" borderId="9" xfId="1" applyFont="1" applyFill="1" applyBorder="1"/>
    <xf numFmtId="164" fontId="3" fillId="2" borderId="9" xfId="1" applyFont="1" applyFill="1" applyBorder="1"/>
    <xf numFmtId="0" fontId="7" fillId="0" borderId="8" xfId="2" applyFont="1" applyBorder="1" applyAlignment="1">
      <alignment vertical="center"/>
    </xf>
    <xf numFmtId="165" fontId="7" fillId="0" borderId="8" xfId="2" applyNumberFormat="1" applyFont="1" applyBorder="1" applyAlignment="1">
      <alignment horizontal="right" vertical="center"/>
    </xf>
    <xf numFmtId="164" fontId="3" fillId="0" borderId="8" xfId="1" applyFont="1" applyBorder="1"/>
    <xf numFmtId="4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0" fontId="3" fillId="4" borderId="9" xfId="0" applyFont="1" applyFill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64" fontId="3" fillId="0" borderId="11" xfId="1" applyFont="1" applyFill="1" applyBorder="1"/>
    <xf numFmtId="0" fontId="3" fillId="4" borderId="11" xfId="0" applyFont="1" applyFill="1" applyBorder="1"/>
    <xf numFmtId="164" fontId="3" fillId="2" borderId="12" xfId="1" applyFont="1" applyFill="1" applyBorder="1"/>
    <xf numFmtId="0" fontId="8" fillId="0" borderId="13" xfId="0" applyFont="1" applyBorder="1"/>
    <xf numFmtId="0" fontId="9" fillId="0" borderId="0" xfId="0" applyFont="1"/>
    <xf numFmtId="164" fontId="8" fillId="5" borderId="0" xfId="1" applyFont="1" applyFill="1"/>
    <xf numFmtId="0" fontId="8" fillId="5" borderId="0" xfId="0" applyFont="1" applyFill="1"/>
    <xf numFmtId="0" fontId="10" fillId="0" borderId="14" xfId="0" applyFont="1" applyBorder="1" applyAlignment="1">
      <alignment horizontal="center"/>
    </xf>
    <xf numFmtId="0" fontId="11" fillId="0" borderId="14" xfId="0" applyFont="1" applyBorder="1"/>
    <xf numFmtId="0" fontId="8" fillId="0" borderId="0" xfId="0" applyFont="1"/>
    <xf numFmtId="164" fontId="8" fillId="0" borderId="16" xfId="1" applyFont="1" applyBorder="1"/>
    <xf numFmtId="0" fontId="8" fillId="0" borderId="17" xfId="0" applyFont="1" applyBorder="1"/>
    <xf numFmtId="164" fontId="12" fillId="0" borderId="18" xfId="1" applyFont="1" applyBorder="1"/>
    <xf numFmtId="164" fontId="12" fillId="0" borderId="14" xfId="1" applyFont="1" applyBorder="1"/>
    <xf numFmtId="0" fontId="13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3" fillId="0" borderId="0" xfId="1" applyFont="1" applyBorder="1" applyAlignment="1">
      <alignment horizontal="right" vertical="center" wrapText="1"/>
    </xf>
    <xf numFmtId="0" fontId="13" fillId="2" borderId="1" xfId="0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7" fillId="0" borderId="22" xfId="0" applyFont="1" applyBorder="1" applyAlignment="1">
      <alignment vertical="center" wrapText="1"/>
    </xf>
    <xf numFmtId="0" fontId="17" fillId="0" borderId="23" xfId="0" applyFont="1" applyBorder="1" applyAlignment="1">
      <alignment vertical="center"/>
    </xf>
    <xf numFmtId="164" fontId="17" fillId="0" borderId="24" xfId="1" applyFont="1" applyBorder="1" applyAlignment="1">
      <alignment horizontal="right" vertical="center"/>
    </xf>
    <xf numFmtId="2" fontId="2" fillId="0" borderId="25" xfId="0" applyNumberFormat="1" applyFont="1" applyBorder="1"/>
    <xf numFmtId="2" fontId="2" fillId="0" borderId="8" xfId="0" applyNumberFormat="1" applyFont="1" applyBorder="1"/>
    <xf numFmtId="164" fontId="2" fillId="0" borderId="8" xfId="1" applyFont="1" applyBorder="1"/>
    <xf numFmtId="164" fontId="17" fillId="0" borderId="22" xfId="1" applyFont="1" applyBorder="1" applyAlignment="1">
      <alignment horizontal="right" vertical="center"/>
    </xf>
    <xf numFmtId="0" fontId="17" fillId="0" borderId="22" xfId="0" quotePrefix="1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8" fillId="0" borderId="14" xfId="0" applyFont="1" applyBorder="1"/>
    <xf numFmtId="0" fontId="18" fillId="0" borderId="26" xfId="0" applyFont="1" applyBorder="1" applyAlignment="1">
      <alignment horizontal="center"/>
    </xf>
    <xf numFmtId="164" fontId="8" fillId="9" borderId="27" xfId="1" applyFont="1" applyFill="1" applyBorder="1"/>
    <xf numFmtId="164" fontId="8" fillId="0" borderId="14" xfId="1" applyFont="1" applyBorder="1"/>
    <xf numFmtId="164" fontId="8" fillId="9" borderId="16" xfId="1" applyFont="1" applyFill="1" applyBorder="1"/>
    <xf numFmtId="164" fontId="8" fillId="10" borderId="16" xfId="1" applyFont="1" applyFill="1" applyBorder="1"/>
    <xf numFmtId="2" fontId="2" fillId="10" borderId="7" xfId="0" applyNumberFormat="1" applyFont="1" applyFill="1" applyBorder="1"/>
    <xf numFmtId="2" fontId="2" fillId="10" borderId="8" xfId="0" applyNumberFormat="1" applyFont="1" applyFill="1" applyBorder="1"/>
    <xf numFmtId="0" fontId="8" fillId="0" borderId="16" xfId="0" applyFont="1" applyBorder="1"/>
    <xf numFmtId="0" fontId="8" fillId="6" borderId="15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D43CE2DF-15C8-4D89-B1DD-FA277C06F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externalLink" Target="externalLinks/externalLink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2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9-SEP-26       '!A1" /><Relationship Id="rId13" Type="http://schemas.openxmlformats.org/officeDocument/2006/relationships/hyperlink" Target="#'15-SEP-26          '!A1" /><Relationship Id="rId18" Type="http://schemas.openxmlformats.org/officeDocument/2006/relationships/hyperlink" Target="#'21-SEP-26            '!A1" /><Relationship Id="rId26" Type="http://schemas.openxmlformats.org/officeDocument/2006/relationships/hyperlink" Target="#'30-SEP-26             '!A1" /><Relationship Id="rId3" Type="http://schemas.openxmlformats.org/officeDocument/2006/relationships/hyperlink" Target="#'3-SEP-26  '!A1" /><Relationship Id="rId21" Type="http://schemas.openxmlformats.org/officeDocument/2006/relationships/hyperlink" Target="#'24-SEP-26             '!A1" /><Relationship Id="rId7" Type="http://schemas.openxmlformats.org/officeDocument/2006/relationships/hyperlink" Target="#'8-SEP-26      '!A1" /><Relationship Id="rId12" Type="http://schemas.openxmlformats.org/officeDocument/2006/relationships/hyperlink" Target="#'14-SEP-26         '!A1" /><Relationship Id="rId17" Type="http://schemas.openxmlformats.org/officeDocument/2006/relationships/hyperlink" Target="#'19-SEP-26           '!A1" /><Relationship Id="rId25" Type="http://schemas.openxmlformats.org/officeDocument/2006/relationships/hyperlink" Target="#'29-SEP-26            '!A1" /><Relationship Id="rId2" Type="http://schemas.openxmlformats.org/officeDocument/2006/relationships/hyperlink" Target="#'2-SEP-26 '!A1" /><Relationship Id="rId16" Type="http://schemas.openxmlformats.org/officeDocument/2006/relationships/hyperlink" Target="#'18-SEP-26          '!A1" /><Relationship Id="rId20" Type="http://schemas.openxmlformats.org/officeDocument/2006/relationships/hyperlink" Target="#'23-SEP-26            '!A1" /><Relationship Id="rId1" Type="http://schemas.openxmlformats.org/officeDocument/2006/relationships/hyperlink" Target="#'1-SEP-26'!A1" /><Relationship Id="rId6" Type="http://schemas.openxmlformats.org/officeDocument/2006/relationships/hyperlink" Target="#'7-SEP-26     '!A1" /><Relationship Id="rId11" Type="http://schemas.openxmlformats.org/officeDocument/2006/relationships/hyperlink" Target="#'12-SEP-26        '!A1" /><Relationship Id="rId24" Type="http://schemas.openxmlformats.org/officeDocument/2006/relationships/hyperlink" Target="#'28-SEP-26             '!A1" /><Relationship Id="rId5" Type="http://schemas.openxmlformats.org/officeDocument/2006/relationships/hyperlink" Target="#'5-SEP-26    '!A1" /><Relationship Id="rId15" Type="http://schemas.openxmlformats.org/officeDocument/2006/relationships/hyperlink" Target="#'17-SEP-26           '!A1" /><Relationship Id="rId23" Type="http://schemas.openxmlformats.org/officeDocument/2006/relationships/hyperlink" Target="#'26-SEP-26            '!A1" /><Relationship Id="rId28" Type="http://schemas.openxmlformats.org/officeDocument/2006/relationships/image" Target="../media/image2.svg" /><Relationship Id="rId10" Type="http://schemas.openxmlformats.org/officeDocument/2006/relationships/hyperlink" Target="#'11-SEP-26       '!A1" /><Relationship Id="rId19" Type="http://schemas.openxmlformats.org/officeDocument/2006/relationships/hyperlink" Target="#'22-SEP-26            '!A1" /><Relationship Id="rId4" Type="http://schemas.openxmlformats.org/officeDocument/2006/relationships/hyperlink" Target="#'4-SEP-26   '!A1" /><Relationship Id="rId9" Type="http://schemas.openxmlformats.org/officeDocument/2006/relationships/hyperlink" Target="#'10-SEP-26       '!A1" /><Relationship Id="rId14" Type="http://schemas.openxmlformats.org/officeDocument/2006/relationships/hyperlink" Target="#'16-SEP-26           '!A1" /><Relationship Id="rId22" Type="http://schemas.openxmlformats.org/officeDocument/2006/relationships/hyperlink" Target="#'25-SEP-26              '!A1" /><Relationship Id="rId27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9-SEP-26       '!A1" /><Relationship Id="rId13" Type="http://schemas.openxmlformats.org/officeDocument/2006/relationships/hyperlink" Target="#'15-SEP-26          '!A1" /><Relationship Id="rId18" Type="http://schemas.openxmlformats.org/officeDocument/2006/relationships/hyperlink" Target="#'21-SEP-26            '!A1" /><Relationship Id="rId26" Type="http://schemas.openxmlformats.org/officeDocument/2006/relationships/hyperlink" Target="#'30-SEP-26             '!A1" /><Relationship Id="rId3" Type="http://schemas.openxmlformats.org/officeDocument/2006/relationships/hyperlink" Target="#'3-SEP-26  '!A1" /><Relationship Id="rId21" Type="http://schemas.openxmlformats.org/officeDocument/2006/relationships/hyperlink" Target="#'24-SEP-26             '!A1" /><Relationship Id="rId7" Type="http://schemas.openxmlformats.org/officeDocument/2006/relationships/hyperlink" Target="#'8-SEP-26      '!A1" /><Relationship Id="rId12" Type="http://schemas.openxmlformats.org/officeDocument/2006/relationships/hyperlink" Target="#'14-SEP-26         '!A1" /><Relationship Id="rId17" Type="http://schemas.openxmlformats.org/officeDocument/2006/relationships/hyperlink" Target="#'19-SEP-26           '!A1" /><Relationship Id="rId25" Type="http://schemas.openxmlformats.org/officeDocument/2006/relationships/hyperlink" Target="#'29-SEP-26            '!A1" /><Relationship Id="rId2" Type="http://schemas.openxmlformats.org/officeDocument/2006/relationships/hyperlink" Target="#'2-SEP-26 '!A1" /><Relationship Id="rId16" Type="http://schemas.openxmlformats.org/officeDocument/2006/relationships/hyperlink" Target="#'18-SEP-26          '!A1" /><Relationship Id="rId20" Type="http://schemas.openxmlformats.org/officeDocument/2006/relationships/hyperlink" Target="#'23-SEP-26            '!A1" /><Relationship Id="rId1" Type="http://schemas.openxmlformats.org/officeDocument/2006/relationships/hyperlink" Target="#'1-SEP-26'!A1" /><Relationship Id="rId6" Type="http://schemas.openxmlformats.org/officeDocument/2006/relationships/hyperlink" Target="#'7-SEP-26     '!A1" /><Relationship Id="rId11" Type="http://schemas.openxmlformats.org/officeDocument/2006/relationships/hyperlink" Target="#'12-SEP-26        '!A1" /><Relationship Id="rId24" Type="http://schemas.openxmlformats.org/officeDocument/2006/relationships/hyperlink" Target="#'28-SEP-26             '!A1" /><Relationship Id="rId5" Type="http://schemas.openxmlformats.org/officeDocument/2006/relationships/hyperlink" Target="#'5-SEP-26    '!A1" /><Relationship Id="rId15" Type="http://schemas.openxmlformats.org/officeDocument/2006/relationships/hyperlink" Target="#'17-SEP-26           '!A1" /><Relationship Id="rId23" Type="http://schemas.openxmlformats.org/officeDocument/2006/relationships/hyperlink" Target="#'26-SEP-26            '!A1" /><Relationship Id="rId28" Type="http://schemas.openxmlformats.org/officeDocument/2006/relationships/image" Target="../media/image2.svg" /><Relationship Id="rId10" Type="http://schemas.openxmlformats.org/officeDocument/2006/relationships/hyperlink" Target="#'11-SEP-26       '!A1" /><Relationship Id="rId19" Type="http://schemas.openxmlformats.org/officeDocument/2006/relationships/hyperlink" Target="#'22-SEP-26            '!A1" /><Relationship Id="rId4" Type="http://schemas.openxmlformats.org/officeDocument/2006/relationships/hyperlink" Target="#'4-SEP-26   '!A1" /><Relationship Id="rId9" Type="http://schemas.openxmlformats.org/officeDocument/2006/relationships/hyperlink" Target="#'10-SEP-26       '!A1" /><Relationship Id="rId14" Type="http://schemas.openxmlformats.org/officeDocument/2006/relationships/hyperlink" Target="#'16-SEP-26           '!A1" /><Relationship Id="rId22" Type="http://schemas.openxmlformats.org/officeDocument/2006/relationships/hyperlink" Target="#'25-SEP-26              '!A1" /><Relationship Id="rId27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6</xdr:row>
      <xdr:rowOff>114300</xdr:rowOff>
    </xdr:from>
    <xdr:to>
      <xdr:col>2</xdr:col>
      <xdr:colOff>123825</xdr:colOff>
      <xdr:row>8</xdr:row>
      <xdr:rowOff>9525</xdr:rowOff>
    </xdr:to>
    <xdr:sp macro="" textlink="">
      <xdr:nvSpPr>
        <xdr:cNvPr id="2" name="Speech Bubble: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B7395-1217-4078-809A-E78A8D557323}"/>
            </a:ext>
          </a:extLst>
        </xdr:cNvPr>
        <xdr:cNvSpPr/>
      </xdr:nvSpPr>
      <xdr:spPr>
        <a:xfrm>
          <a:off x="409575" y="139065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1-SE</a:t>
          </a:r>
          <a:r>
            <a:rPr lang="en-GB" sz="1100"/>
            <a:t>P-26</a:t>
          </a:r>
        </a:p>
      </xdr:txBody>
    </xdr:sp>
    <xdr:clientData/>
  </xdr:twoCellAnchor>
  <xdr:twoCellAnchor>
    <xdr:from>
      <xdr:col>0</xdr:col>
      <xdr:colOff>409575</xdr:colOff>
      <xdr:row>8</xdr:row>
      <xdr:rowOff>133350</xdr:rowOff>
    </xdr:from>
    <xdr:to>
      <xdr:col>2</xdr:col>
      <xdr:colOff>123825</xdr:colOff>
      <xdr:row>10</xdr:row>
      <xdr:rowOff>28575</xdr:rowOff>
    </xdr:to>
    <xdr:sp macro="" textlink="">
      <xdr:nvSpPr>
        <xdr:cNvPr id="3" name="Speech Bubble: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BD75B6-9F7E-4475-8AE8-09CD4070A6F2}"/>
            </a:ext>
          </a:extLst>
        </xdr:cNvPr>
        <xdr:cNvSpPr/>
      </xdr:nvSpPr>
      <xdr:spPr>
        <a:xfrm>
          <a:off x="409575" y="179070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2-SEP-26</a:t>
          </a:r>
        </a:p>
      </xdr:txBody>
    </xdr:sp>
    <xdr:clientData/>
  </xdr:twoCellAnchor>
  <xdr:twoCellAnchor>
    <xdr:from>
      <xdr:col>0</xdr:col>
      <xdr:colOff>409575</xdr:colOff>
      <xdr:row>10</xdr:row>
      <xdr:rowOff>142875</xdr:rowOff>
    </xdr:from>
    <xdr:to>
      <xdr:col>2</xdr:col>
      <xdr:colOff>123825</xdr:colOff>
      <xdr:row>12</xdr:row>
      <xdr:rowOff>38100</xdr:rowOff>
    </xdr:to>
    <xdr:sp macro="" textlink="">
      <xdr:nvSpPr>
        <xdr:cNvPr id="4" name="Speech Bubble: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145E51-CEDF-403D-A5D4-923109AD5BF2}"/>
            </a:ext>
          </a:extLst>
        </xdr:cNvPr>
        <xdr:cNvSpPr/>
      </xdr:nvSpPr>
      <xdr:spPr>
        <a:xfrm>
          <a:off x="409575" y="21812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3-SEP-26</a:t>
          </a:r>
        </a:p>
      </xdr:txBody>
    </xdr:sp>
    <xdr:clientData/>
  </xdr:twoCellAnchor>
  <xdr:twoCellAnchor>
    <xdr:from>
      <xdr:col>0</xdr:col>
      <xdr:colOff>409575</xdr:colOff>
      <xdr:row>12</xdr:row>
      <xdr:rowOff>180975</xdr:rowOff>
    </xdr:from>
    <xdr:to>
      <xdr:col>2</xdr:col>
      <xdr:colOff>123825</xdr:colOff>
      <xdr:row>14</xdr:row>
      <xdr:rowOff>76200</xdr:rowOff>
    </xdr:to>
    <xdr:sp macro="" textlink="">
      <xdr:nvSpPr>
        <xdr:cNvPr id="5" name="Speech Bubble: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5289EC-BA28-41B8-92EE-5B8A2DBF0B5A}"/>
            </a:ext>
          </a:extLst>
        </xdr:cNvPr>
        <xdr:cNvSpPr/>
      </xdr:nvSpPr>
      <xdr:spPr>
        <a:xfrm>
          <a:off x="409575" y="26003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4-SEP-26</a:t>
          </a:r>
        </a:p>
      </xdr:txBody>
    </xdr:sp>
    <xdr:clientData/>
  </xdr:twoCellAnchor>
  <xdr:twoCellAnchor>
    <xdr:from>
      <xdr:col>0</xdr:col>
      <xdr:colOff>409575</xdr:colOff>
      <xdr:row>15</xdr:row>
      <xdr:rowOff>47625</xdr:rowOff>
    </xdr:from>
    <xdr:to>
      <xdr:col>2</xdr:col>
      <xdr:colOff>123825</xdr:colOff>
      <xdr:row>16</xdr:row>
      <xdr:rowOff>133350</xdr:rowOff>
    </xdr:to>
    <xdr:sp macro="" textlink="">
      <xdr:nvSpPr>
        <xdr:cNvPr id="6" name="Speech Bubble: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28F4E8-07CD-49BD-8E80-D468DF28F6B9}"/>
            </a:ext>
          </a:extLst>
        </xdr:cNvPr>
        <xdr:cNvSpPr/>
      </xdr:nvSpPr>
      <xdr:spPr>
        <a:xfrm>
          <a:off x="409575" y="303847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5-SEP-26</a:t>
          </a:r>
        </a:p>
      </xdr:txBody>
    </xdr:sp>
    <xdr:clientData/>
  </xdr:twoCellAnchor>
  <xdr:twoCellAnchor>
    <xdr:from>
      <xdr:col>0</xdr:col>
      <xdr:colOff>409575</xdr:colOff>
      <xdr:row>18</xdr:row>
      <xdr:rowOff>85725</xdr:rowOff>
    </xdr:from>
    <xdr:to>
      <xdr:col>2</xdr:col>
      <xdr:colOff>123825</xdr:colOff>
      <xdr:row>20</xdr:row>
      <xdr:rowOff>171450</xdr:rowOff>
    </xdr:to>
    <xdr:sp macro="" textlink="">
      <xdr:nvSpPr>
        <xdr:cNvPr id="7" name="Speech Bubble: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3BD030-A30D-4066-B8A0-360E3CFBC2C0}"/>
            </a:ext>
          </a:extLst>
        </xdr:cNvPr>
        <xdr:cNvSpPr/>
      </xdr:nvSpPr>
      <xdr:spPr>
        <a:xfrm>
          <a:off x="409575" y="3648075"/>
          <a:ext cx="933450" cy="4667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7-SEP-26</a:t>
          </a:r>
        </a:p>
      </xdr:txBody>
    </xdr:sp>
    <xdr:clientData/>
  </xdr:twoCellAnchor>
  <xdr:twoCellAnchor>
    <xdr:from>
      <xdr:col>0</xdr:col>
      <xdr:colOff>409575</xdr:colOff>
      <xdr:row>21</xdr:row>
      <xdr:rowOff>190499</xdr:rowOff>
    </xdr:from>
    <xdr:to>
      <xdr:col>2</xdr:col>
      <xdr:colOff>123825</xdr:colOff>
      <xdr:row>23</xdr:row>
      <xdr:rowOff>142874</xdr:rowOff>
    </xdr:to>
    <xdr:sp macro="" textlink="">
      <xdr:nvSpPr>
        <xdr:cNvPr id="8" name="Speech Bubble: 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273CE8-B47F-43E2-A8AD-7CF389CF0DCF}"/>
            </a:ext>
          </a:extLst>
        </xdr:cNvPr>
        <xdr:cNvSpPr/>
      </xdr:nvSpPr>
      <xdr:spPr>
        <a:xfrm>
          <a:off x="409575" y="4324349"/>
          <a:ext cx="933450" cy="3333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8-SEP-26</a:t>
          </a:r>
        </a:p>
      </xdr:txBody>
    </xdr:sp>
    <xdr:clientData/>
  </xdr:twoCellAnchor>
  <xdr:twoCellAnchor>
    <xdr:from>
      <xdr:col>0</xdr:col>
      <xdr:colOff>438150</xdr:colOff>
      <xdr:row>24</xdr:row>
      <xdr:rowOff>123825</xdr:rowOff>
    </xdr:from>
    <xdr:to>
      <xdr:col>2</xdr:col>
      <xdr:colOff>133350</xdr:colOff>
      <xdr:row>26</xdr:row>
      <xdr:rowOff>123824</xdr:rowOff>
    </xdr:to>
    <xdr:sp macro="" textlink="">
      <xdr:nvSpPr>
        <xdr:cNvPr id="9" name="Speech Bubble: 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1FD34E-D06B-4D33-9C27-B12D7B49908A}"/>
            </a:ext>
          </a:extLst>
        </xdr:cNvPr>
        <xdr:cNvSpPr/>
      </xdr:nvSpPr>
      <xdr:spPr>
        <a:xfrm>
          <a:off x="438150" y="4829175"/>
          <a:ext cx="914400" cy="380999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9-SEP-26</a:t>
          </a:r>
        </a:p>
      </xdr:txBody>
    </xdr:sp>
    <xdr:clientData/>
  </xdr:twoCellAnchor>
  <xdr:twoCellAnchor>
    <xdr:from>
      <xdr:col>0</xdr:col>
      <xdr:colOff>447675</xdr:colOff>
      <xdr:row>27</xdr:row>
      <xdr:rowOff>114300</xdr:rowOff>
    </xdr:from>
    <xdr:to>
      <xdr:col>2</xdr:col>
      <xdr:colOff>161925</xdr:colOff>
      <xdr:row>29</xdr:row>
      <xdr:rowOff>76199</xdr:rowOff>
    </xdr:to>
    <xdr:sp macro="" textlink="">
      <xdr:nvSpPr>
        <xdr:cNvPr id="10" name="Speech Bubble: 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6E6D95-DE4C-4F98-9E16-3E0A15CE623B}"/>
            </a:ext>
          </a:extLst>
        </xdr:cNvPr>
        <xdr:cNvSpPr/>
      </xdr:nvSpPr>
      <xdr:spPr>
        <a:xfrm>
          <a:off x="447675" y="5391150"/>
          <a:ext cx="933450" cy="342899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10-SEP-26</a:t>
          </a:r>
        </a:p>
      </xdr:txBody>
    </xdr:sp>
    <xdr:clientData/>
  </xdr:twoCellAnchor>
  <xdr:twoCellAnchor>
    <xdr:from>
      <xdr:col>0</xdr:col>
      <xdr:colOff>447675</xdr:colOff>
      <xdr:row>30</xdr:row>
      <xdr:rowOff>19050</xdr:rowOff>
    </xdr:from>
    <xdr:to>
      <xdr:col>2</xdr:col>
      <xdr:colOff>161925</xdr:colOff>
      <xdr:row>31</xdr:row>
      <xdr:rowOff>104775</xdr:rowOff>
    </xdr:to>
    <xdr:sp macro="" textlink="">
      <xdr:nvSpPr>
        <xdr:cNvPr id="11" name="Speech Bubble: 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28A26C2-DA37-4F39-9088-364413A5E37E}"/>
            </a:ext>
          </a:extLst>
        </xdr:cNvPr>
        <xdr:cNvSpPr/>
      </xdr:nvSpPr>
      <xdr:spPr>
        <a:xfrm>
          <a:off x="447675" y="586740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11-SEP-26</a:t>
          </a:r>
        </a:p>
      </xdr:txBody>
    </xdr:sp>
    <xdr:clientData/>
  </xdr:twoCellAnchor>
  <xdr:twoCellAnchor>
    <xdr:from>
      <xdr:col>0</xdr:col>
      <xdr:colOff>447675</xdr:colOff>
      <xdr:row>32</xdr:row>
      <xdr:rowOff>28575</xdr:rowOff>
    </xdr:from>
    <xdr:to>
      <xdr:col>2</xdr:col>
      <xdr:colOff>161925</xdr:colOff>
      <xdr:row>33</xdr:row>
      <xdr:rowOff>114300</xdr:rowOff>
    </xdr:to>
    <xdr:sp macro="" textlink="">
      <xdr:nvSpPr>
        <xdr:cNvPr id="12" name="Speech Bubble: 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C8629D-1C13-4684-94A9-7A17F71069CA}"/>
            </a:ext>
          </a:extLst>
        </xdr:cNvPr>
        <xdr:cNvSpPr/>
      </xdr:nvSpPr>
      <xdr:spPr>
        <a:xfrm>
          <a:off x="447675" y="62579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12-SEP-26</a:t>
          </a:r>
        </a:p>
      </xdr:txBody>
    </xdr:sp>
    <xdr:clientData/>
  </xdr:twoCellAnchor>
  <xdr:twoCellAnchor>
    <xdr:from>
      <xdr:col>0</xdr:col>
      <xdr:colOff>457200</xdr:colOff>
      <xdr:row>34</xdr:row>
      <xdr:rowOff>57150</xdr:rowOff>
    </xdr:from>
    <xdr:to>
      <xdr:col>2</xdr:col>
      <xdr:colOff>171450</xdr:colOff>
      <xdr:row>35</xdr:row>
      <xdr:rowOff>142875</xdr:rowOff>
    </xdr:to>
    <xdr:sp macro="" textlink="">
      <xdr:nvSpPr>
        <xdr:cNvPr id="13" name="Speech Bubble: Rectangl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53204B-E7BE-4BCD-96AE-B6C089F4E248}"/>
            </a:ext>
          </a:extLst>
        </xdr:cNvPr>
        <xdr:cNvSpPr/>
      </xdr:nvSpPr>
      <xdr:spPr>
        <a:xfrm>
          <a:off x="457200" y="666750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14-SEP-26</a:t>
          </a:r>
        </a:p>
      </xdr:txBody>
    </xdr:sp>
    <xdr:clientData/>
  </xdr:twoCellAnchor>
  <xdr:twoCellAnchor>
    <xdr:from>
      <xdr:col>0</xdr:col>
      <xdr:colOff>457200</xdr:colOff>
      <xdr:row>36</xdr:row>
      <xdr:rowOff>57150</xdr:rowOff>
    </xdr:from>
    <xdr:to>
      <xdr:col>2</xdr:col>
      <xdr:colOff>171450</xdr:colOff>
      <xdr:row>37</xdr:row>
      <xdr:rowOff>161925</xdr:rowOff>
    </xdr:to>
    <xdr:sp macro="" textlink="">
      <xdr:nvSpPr>
        <xdr:cNvPr id="14" name="Speech Bubble: Rectangl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961DEF-3E71-4877-ACB0-CE33FBD5ACE5}"/>
            </a:ext>
          </a:extLst>
        </xdr:cNvPr>
        <xdr:cNvSpPr/>
      </xdr:nvSpPr>
      <xdr:spPr>
        <a:xfrm>
          <a:off x="457200" y="704850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15-SEP-26</a:t>
          </a:r>
        </a:p>
      </xdr:txBody>
    </xdr:sp>
    <xdr:clientData/>
  </xdr:twoCellAnchor>
  <xdr:twoCellAnchor>
    <xdr:from>
      <xdr:col>0</xdr:col>
      <xdr:colOff>457200</xdr:colOff>
      <xdr:row>38</xdr:row>
      <xdr:rowOff>66675</xdr:rowOff>
    </xdr:from>
    <xdr:to>
      <xdr:col>2</xdr:col>
      <xdr:colOff>171450</xdr:colOff>
      <xdr:row>39</xdr:row>
      <xdr:rowOff>152400</xdr:rowOff>
    </xdr:to>
    <xdr:sp macro="" textlink="">
      <xdr:nvSpPr>
        <xdr:cNvPr id="15" name="Speech Bubble: Rectangl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FEF2424-3FF9-49B9-A7B3-64935D1D4F88}"/>
            </a:ext>
          </a:extLst>
        </xdr:cNvPr>
        <xdr:cNvSpPr/>
      </xdr:nvSpPr>
      <xdr:spPr>
        <a:xfrm>
          <a:off x="457200" y="74390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16-SEP-25</a:t>
          </a:r>
        </a:p>
      </xdr:txBody>
    </xdr:sp>
    <xdr:clientData/>
  </xdr:twoCellAnchor>
  <xdr:twoCellAnchor>
    <xdr:from>
      <xdr:col>0</xdr:col>
      <xdr:colOff>457200</xdr:colOff>
      <xdr:row>40</xdr:row>
      <xdr:rowOff>95250</xdr:rowOff>
    </xdr:from>
    <xdr:to>
      <xdr:col>2</xdr:col>
      <xdr:colOff>171450</xdr:colOff>
      <xdr:row>41</xdr:row>
      <xdr:rowOff>180975</xdr:rowOff>
    </xdr:to>
    <xdr:sp macro="" textlink="">
      <xdr:nvSpPr>
        <xdr:cNvPr id="16" name="Speech Bubble: Rectangl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267805F-01E3-4235-A48F-02D9EA27AE80}"/>
            </a:ext>
          </a:extLst>
        </xdr:cNvPr>
        <xdr:cNvSpPr/>
      </xdr:nvSpPr>
      <xdr:spPr>
        <a:xfrm>
          <a:off x="457200" y="784860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17-SEP-26</a:t>
          </a:r>
        </a:p>
      </xdr:txBody>
    </xdr:sp>
    <xdr:clientData/>
  </xdr:twoCellAnchor>
  <xdr:twoCellAnchor>
    <xdr:from>
      <xdr:col>0</xdr:col>
      <xdr:colOff>457200</xdr:colOff>
      <xdr:row>42</xdr:row>
      <xdr:rowOff>114300</xdr:rowOff>
    </xdr:from>
    <xdr:to>
      <xdr:col>2</xdr:col>
      <xdr:colOff>171450</xdr:colOff>
      <xdr:row>44</xdr:row>
      <xdr:rowOff>9525</xdr:rowOff>
    </xdr:to>
    <xdr:sp macro="" textlink="">
      <xdr:nvSpPr>
        <xdr:cNvPr id="17" name="Speech Bubble: Rectangl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BC2ED61-A33A-4E8F-AB93-159C1B4CF7C4}"/>
            </a:ext>
          </a:extLst>
        </xdr:cNvPr>
        <xdr:cNvSpPr/>
      </xdr:nvSpPr>
      <xdr:spPr>
        <a:xfrm>
          <a:off x="457200" y="8248650"/>
          <a:ext cx="933450" cy="276225"/>
        </a:xfrm>
        <a:prstGeom prst="wedgeRectCallou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18-SEP-26</a:t>
          </a:r>
        </a:p>
      </xdr:txBody>
    </xdr:sp>
    <xdr:clientData/>
  </xdr:twoCellAnchor>
  <xdr:twoCellAnchor>
    <xdr:from>
      <xdr:col>0</xdr:col>
      <xdr:colOff>457200</xdr:colOff>
      <xdr:row>44</xdr:row>
      <xdr:rowOff>114300</xdr:rowOff>
    </xdr:from>
    <xdr:to>
      <xdr:col>2</xdr:col>
      <xdr:colOff>171450</xdr:colOff>
      <xdr:row>47</xdr:row>
      <xdr:rowOff>9525</xdr:rowOff>
    </xdr:to>
    <xdr:sp macro="" textlink="">
      <xdr:nvSpPr>
        <xdr:cNvPr id="18" name="Speech Bubble: Rectangl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5C235EA-7CB4-4C0D-91DF-1EAEE0CF1760}"/>
            </a:ext>
          </a:extLst>
        </xdr:cNvPr>
        <xdr:cNvSpPr/>
      </xdr:nvSpPr>
      <xdr:spPr>
        <a:xfrm>
          <a:off x="457200" y="8629650"/>
          <a:ext cx="933450" cy="4667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19-SEP-26</a:t>
          </a:r>
        </a:p>
      </xdr:txBody>
    </xdr:sp>
    <xdr:clientData/>
  </xdr:twoCellAnchor>
  <xdr:twoCellAnchor>
    <xdr:from>
      <xdr:col>0</xdr:col>
      <xdr:colOff>457200</xdr:colOff>
      <xdr:row>47</xdr:row>
      <xdr:rowOff>142875</xdr:rowOff>
    </xdr:from>
    <xdr:to>
      <xdr:col>2</xdr:col>
      <xdr:colOff>171450</xdr:colOff>
      <xdr:row>49</xdr:row>
      <xdr:rowOff>38100</xdr:rowOff>
    </xdr:to>
    <xdr:sp macro="" textlink="">
      <xdr:nvSpPr>
        <xdr:cNvPr id="19" name="Speech Bubble: Rectangl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F16E352-85BB-42EB-A5CF-F74F0F563D80}"/>
            </a:ext>
          </a:extLst>
        </xdr:cNvPr>
        <xdr:cNvSpPr/>
      </xdr:nvSpPr>
      <xdr:spPr>
        <a:xfrm>
          <a:off x="457200" y="92297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21-SEP-26</a:t>
          </a:r>
        </a:p>
      </xdr:txBody>
    </xdr:sp>
    <xdr:clientData/>
  </xdr:twoCellAnchor>
  <xdr:twoCellAnchor>
    <xdr:from>
      <xdr:col>0</xdr:col>
      <xdr:colOff>457200</xdr:colOff>
      <xdr:row>49</xdr:row>
      <xdr:rowOff>180975</xdr:rowOff>
    </xdr:from>
    <xdr:to>
      <xdr:col>2</xdr:col>
      <xdr:colOff>171450</xdr:colOff>
      <xdr:row>51</xdr:row>
      <xdr:rowOff>76200</xdr:rowOff>
    </xdr:to>
    <xdr:sp macro="" textlink="">
      <xdr:nvSpPr>
        <xdr:cNvPr id="20" name="Speech Bubble: Rectangl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6587B15-9731-4988-AC59-AAD12D9F51CD}"/>
            </a:ext>
          </a:extLst>
        </xdr:cNvPr>
        <xdr:cNvSpPr/>
      </xdr:nvSpPr>
      <xdr:spPr>
        <a:xfrm>
          <a:off x="457200" y="96488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22-SEP-26</a:t>
          </a:r>
        </a:p>
      </xdr:txBody>
    </xdr:sp>
    <xdr:clientData/>
  </xdr:twoCellAnchor>
  <xdr:twoCellAnchor>
    <xdr:from>
      <xdr:col>0</xdr:col>
      <xdr:colOff>457200</xdr:colOff>
      <xdr:row>51</xdr:row>
      <xdr:rowOff>180975</xdr:rowOff>
    </xdr:from>
    <xdr:to>
      <xdr:col>2</xdr:col>
      <xdr:colOff>171450</xdr:colOff>
      <xdr:row>53</xdr:row>
      <xdr:rowOff>76200</xdr:rowOff>
    </xdr:to>
    <xdr:sp macro="" textlink="">
      <xdr:nvSpPr>
        <xdr:cNvPr id="21" name="Speech Bubble: Rectangl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0C4EC3E-8D76-4429-A9E4-5EF8869775A1}"/>
            </a:ext>
          </a:extLst>
        </xdr:cNvPr>
        <xdr:cNvSpPr/>
      </xdr:nvSpPr>
      <xdr:spPr>
        <a:xfrm>
          <a:off x="457200" y="100298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23-SEP-26</a:t>
          </a:r>
        </a:p>
      </xdr:txBody>
    </xdr:sp>
    <xdr:clientData/>
  </xdr:twoCellAnchor>
  <xdr:twoCellAnchor>
    <xdr:from>
      <xdr:col>0</xdr:col>
      <xdr:colOff>457200</xdr:colOff>
      <xdr:row>53</xdr:row>
      <xdr:rowOff>180975</xdr:rowOff>
    </xdr:from>
    <xdr:to>
      <xdr:col>2</xdr:col>
      <xdr:colOff>171450</xdr:colOff>
      <xdr:row>55</xdr:row>
      <xdr:rowOff>76200</xdr:rowOff>
    </xdr:to>
    <xdr:sp macro="" textlink="">
      <xdr:nvSpPr>
        <xdr:cNvPr id="22" name="Speech Bubble: Rectangl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9E71B5C-00D7-44C0-BDD8-7CFF25AEE9DF}"/>
            </a:ext>
          </a:extLst>
        </xdr:cNvPr>
        <xdr:cNvSpPr/>
      </xdr:nvSpPr>
      <xdr:spPr>
        <a:xfrm>
          <a:off x="457200" y="104108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24-SEP-26</a:t>
          </a:r>
        </a:p>
      </xdr:txBody>
    </xdr:sp>
    <xdr:clientData/>
  </xdr:twoCellAnchor>
  <xdr:twoCellAnchor>
    <xdr:from>
      <xdr:col>0</xdr:col>
      <xdr:colOff>457200</xdr:colOff>
      <xdr:row>56</xdr:row>
      <xdr:rowOff>0</xdr:rowOff>
    </xdr:from>
    <xdr:to>
      <xdr:col>2</xdr:col>
      <xdr:colOff>171450</xdr:colOff>
      <xdr:row>57</xdr:row>
      <xdr:rowOff>85725</xdr:rowOff>
    </xdr:to>
    <xdr:sp macro="" textlink="">
      <xdr:nvSpPr>
        <xdr:cNvPr id="23" name="Speech Bubble: Rectangl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9B5004D-52F5-4A28-BE08-4931779E2DB5}"/>
            </a:ext>
          </a:extLst>
        </xdr:cNvPr>
        <xdr:cNvSpPr/>
      </xdr:nvSpPr>
      <xdr:spPr>
        <a:xfrm>
          <a:off x="457200" y="1080135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25-SEP-26</a:t>
          </a:r>
        </a:p>
      </xdr:txBody>
    </xdr:sp>
    <xdr:clientData/>
  </xdr:twoCellAnchor>
  <xdr:twoCellAnchor>
    <xdr:from>
      <xdr:col>0</xdr:col>
      <xdr:colOff>457200</xdr:colOff>
      <xdr:row>58</xdr:row>
      <xdr:rowOff>9525</xdr:rowOff>
    </xdr:from>
    <xdr:to>
      <xdr:col>2</xdr:col>
      <xdr:colOff>171450</xdr:colOff>
      <xdr:row>59</xdr:row>
      <xdr:rowOff>95250</xdr:rowOff>
    </xdr:to>
    <xdr:sp macro="" textlink="">
      <xdr:nvSpPr>
        <xdr:cNvPr id="24" name="Speech Bubble: Rectangl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79002EE-ED19-4BE0-AE7A-B37075963848}"/>
            </a:ext>
          </a:extLst>
        </xdr:cNvPr>
        <xdr:cNvSpPr/>
      </xdr:nvSpPr>
      <xdr:spPr>
        <a:xfrm>
          <a:off x="457200" y="1119187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26-SEP-26</a:t>
          </a:r>
        </a:p>
      </xdr:txBody>
    </xdr:sp>
    <xdr:clientData/>
  </xdr:twoCellAnchor>
  <xdr:twoCellAnchor>
    <xdr:from>
      <xdr:col>0</xdr:col>
      <xdr:colOff>457200</xdr:colOff>
      <xdr:row>60</xdr:row>
      <xdr:rowOff>38100</xdr:rowOff>
    </xdr:from>
    <xdr:to>
      <xdr:col>2</xdr:col>
      <xdr:colOff>171450</xdr:colOff>
      <xdr:row>61</xdr:row>
      <xdr:rowOff>123825</xdr:rowOff>
    </xdr:to>
    <xdr:sp macro="" textlink="">
      <xdr:nvSpPr>
        <xdr:cNvPr id="25" name="Speech Bubble: Rectangl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8247F80-B90B-4098-B006-C40E9F07EAFA}"/>
            </a:ext>
          </a:extLst>
        </xdr:cNvPr>
        <xdr:cNvSpPr/>
      </xdr:nvSpPr>
      <xdr:spPr>
        <a:xfrm>
          <a:off x="457200" y="1161097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28-SEP-26</a:t>
          </a:r>
        </a:p>
      </xdr:txBody>
    </xdr:sp>
    <xdr:clientData/>
  </xdr:twoCellAnchor>
  <xdr:twoCellAnchor>
    <xdr:from>
      <xdr:col>0</xdr:col>
      <xdr:colOff>457200</xdr:colOff>
      <xdr:row>62</xdr:row>
      <xdr:rowOff>57150</xdr:rowOff>
    </xdr:from>
    <xdr:to>
      <xdr:col>2</xdr:col>
      <xdr:colOff>171450</xdr:colOff>
      <xdr:row>63</xdr:row>
      <xdr:rowOff>142875</xdr:rowOff>
    </xdr:to>
    <xdr:sp macro="" textlink="">
      <xdr:nvSpPr>
        <xdr:cNvPr id="26" name="Speech Bubble: Rectangl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8C12A5A-52D4-4F87-92B4-EB804761F512}"/>
            </a:ext>
          </a:extLst>
        </xdr:cNvPr>
        <xdr:cNvSpPr/>
      </xdr:nvSpPr>
      <xdr:spPr>
        <a:xfrm>
          <a:off x="457200" y="12011025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29-SEP-26</a:t>
          </a:r>
        </a:p>
      </xdr:txBody>
    </xdr:sp>
    <xdr:clientData/>
  </xdr:twoCellAnchor>
  <xdr:twoCellAnchor>
    <xdr:from>
      <xdr:col>0</xdr:col>
      <xdr:colOff>457200</xdr:colOff>
      <xdr:row>64</xdr:row>
      <xdr:rowOff>85725</xdr:rowOff>
    </xdr:from>
    <xdr:to>
      <xdr:col>2</xdr:col>
      <xdr:colOff>171450</xdr:colOff>
      <xdr:row>65</xdr:row>
      <xdr:rowOff>171450</xdr:rowOff>
    </xdr:to>
    <xdr:sp macro="" textlink="">
      <xdr:nvSpPr>
        <xdr:cNvPr id="27" name="Speech Bubble: Rectangl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103D269-4491-4B6F-B896-6960C459CF6C}"/>
            </a:ext>
          </a:extLst>
        </xdr:cNvPr>
        <xdr:cNvSpPr/>
      </xdr:nvSpPr>
      <xdr:spPr>
        <a:xfrm>
          <a:off x="457200" y="12420600"/>
          <a:ext cx="933450" cy="2762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30-SEP-26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0</xdr:rowOff>
    </xdr:from>
    <xdr:to>
      <xdr:col>1</xdr:col>
      <xdr:colOff>314326</xdr:colOff>
      <xdr:row>3</xdr:row>
      <xdr:rowOff>104775</xdr:rowOff>
    </xdr:to>
    <xdr:pic>
      <xdr:nvPicPr>
        <xdr:cNvPr id="28" name="Graphic 27" descr="Work from home Wi-Fi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D4B80E6-3E8B-4D96-9FDD-51FED231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257175" y="190500"/>
          <a:ext cx="666751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5</xdr:row>
      <xdr:rowOff>114300</xdr:rowOff>
    </xdr:from>
    <xdr:to>
      <xdr:col>2</xdr:col>
      <xdr:colOff>123825</xdr:colOff>
      <xdr:row>7</xdr:row>
      <xdr:rowOff>9525</xdr:rowOff>
    </xdr:to>
    <xdr:sp macro="" textlink="">
      <xdr:nvSpPr>
        <xdr:cNvPr id="2" name="Speech Bubble: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D0E96-244E-4434-B25A-D9B3B8B306A1}"/>
            </a:ext>
          </a:extLst>
        </xdr:cNvPr>
        <xdr:cNvSpPr/>
      </xdr:nvSpPr>
      <xdr:spPr>
        <a:xfrm>
          <a:off x="409575" y="1343025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1-SE</a:t>
          </a:r>
          <a:r>
            <a:rPr lang="en-GB" sz="1100"/>
            <a:t>P-26</a:t>
          </a:r>
        </a:p>
      </xdr:txBody>
    </xdr:sp>
    <xdr:clientData/>
  </xdr:twoCellAnchor>
  <xdr:twoCellAnchor>
    <xdr:from>
      <xdr:col>0</xdr:col>
      <xdr:colOff>409575</xdr:colOff>
      <xdr:row>7</xdr:row>
      <xdr:rowOff>133350</xdr:rowOff>
    </xdr:from>
    <xdr:to>
      <xdr:col>2</xdr:col>
      <xdr:colOff>123825</xdr:colOff>
      <xdr:row>9</xdr:row>
      <xdr:rowOff>28575</xdr:rowOff>
    </xdr:to>
    <xdr:sp macro="" textlink="">
      <xdr:nvSpPr>
        <xdr:cNvPr id="3" name="Speech Bubble: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1AD9B6-22B0-47F6-B3A7-7DD8797B10D2}"/>
            </a:ext>
          </a:extLst>
        </xdr:cNvPr>
        <xdr:cNvSpPr/>
      </xdr:nvSpPr>
      <xdr:spPr>
        <a:xfrm>
          <a:off x="409575" y="1762125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2-SEP-26</a:t>
          </a:r>
        </a:p>
      </xdr:txBody>
    </xdr:sp>
    <xdr:clientData/>
  </xdr:twoCellAnchor>
  <xdr:twoCellAnchor>
    <xdr:from>
      <xdr:col>0</xdr:col>
      <xdr:colOff>409575</xdr:colOff>
      <xdr:row>9</xdr:row>
      <xdr:rowOff>142875</xdr:rowOff>
    </xdr:from>
    <xdr:to>
      <xdr:col>2</xdr:col>
      <xdr:colOff>123825</xdr:colOff>
      <xdr:row>11</xdr:row>
      <xdr:rowOff>38100</xdr:rowOff>
    </xdr:to>
    <xdr:sp macro="" textlink="">
      <xdr:nvSpPr>
        <xdr:cNvPr id="4" name="Speech Bubble: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0C1EBF-9598-4A5B-B8B6-6AA028D38E03}"/>
            </a:ext>
          </a:extLst>
        </xdr:cNvPr>
        <xdr:cNvSpPr/>
      </xdr:nvSpPr>
      <xdr:spPr>
        <a:xfrm>
          <a:off x="409575" y="217170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3-SEP-26</a:t>
          </a:r>
        </a:p>
      </xdr:txBody>
    </xdr:sp>
    <xdr:clientData/>
  </xdr:twoCellAnchor>
  <xdr:twoCellAnchor>
    <xdr:from>
      <xdr:col>0</xdr:col>
      <xdr:colOff>409575</xdr:colOff>
      <xdr:row>11</xdr:row>
      <xdr:rowOff>180975</xdr:rowOff>
    </xdr:from>
    <xdr:to>
      <xdr:col>2</xdr:col>
      <xdr:colOff>123825</xdr:colOff>
      <xdr:row>13</xdr:row>
      <xdr:rowOff>76200</xdr:rowOff>
    </xdr:to>
    <xdr:sp macro="" textlink="">
      <xdr:nvSpPr>
        <xdr:cNvPr id="5" name="Speech Bubble: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190194-7E54-48B2-B432-BC8C067E0BE2}"/>
            </a:ext>
          </a:extLst>
        </xdr:cNvPr>
        <xdr:cNvSpPr/>
      </xdr:nvSpPr>
      <xdr:spPr>
        <a:xfrm>
          <a:off x="409575" y="260985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4-SEP-26</a:t>
          </a:r>
        </a:p>
      </xdr:txBody>
    </xdr:sp>
    <xdr:clientData/>
  </xdr:twoCellAnchor>
  <xdr:twoCellAnchor>
    <xdr:from>
      <xdr:col>0</xdr:col>
      <xdr:colOff>409575</xdr:colOff>
      <xdr:row>14</xdr:row>
      <xdr:rowOff>47625</xdr:rowOff>
    </xdr:from>
    <xdr:to>
      <xdr:col>2</xdr:col>
      <xdr:colOff>123825</xdr:colOff>
      <xdr:row>15</xdr:row>
      <xdr:rowOff>133350</xdr:rowOff>
    </xdr:to>
    <xdr:sp macro="" textlink="">
      <xdr:nvSpPr>
        <xdr:cNvPr id="6" name="Speech Bubble: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A6EE6A-0E8C-4AD1-9DF4-C5E9D4360BA2}"/>
            </a:ext>
          </a:extLst>
        </xdr:cNvPr>
        <xdr:cNvSpPr/>
      </xdr:nvSpPr>
      <xdr:spPr>
        <a:xfrm>
          <a:off x="409575" y="307657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5-SEP-26</a:t>
          </a:r>
        </a:p>
      </xdr:txBody>
    </xdr:sp>
    <xdr:clientData/>
  </xdr:twoCellAnchor>
  <xdr:twoCellAnchor>
    <xdr:from>
      <xdr:col>0</xdr:col>
      <xdr:colOff>409575</xdr:colOff>
      <xdr:row>16</xdr:row>
      <xdr:rowOff>85725</xdr:rowOff>
    </xdr:from>
    <xdr:to>
      <xdr:col>2</xdr:col>
      <xdr:colOff>123825</xdr:colOff>
      <xdr:row>17</xdr:row>
      <xdr:rowOff>171450</xdr:rowOff>
    </xdr:to>
    <xdr:sp macro="" textlink="">
      <xdr:nvSpPr>
        <xdr:cNvPr id="7" name="Speech Bubble: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34F129-55B0-4CCB-BEE5-46A00F773CC4}"/>
            </a:ext>
          </a:extLst>
        </xdr:cNvPr>
        <xdr:cNvSpPr/>
      </xdr:nvSpPr>
      <xdr:spPr>
        <a:xfrm>
          <a:off x="409575" y="351472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7-SEP-26</a:t>
          </a:r>
        </a:p>
      </xdr:txBody>
    </xdr:sp>
    <xdr:clientData/>
  </xdr:twoCellAnchor>
  <xdr:twoCellAnchor>
    <xdr:from>
      <xdr:col>0</xdr:col>
      <xdr:colOff>409575</xdr:colOff>
      <xdr:row>18</xdr:row>
      <xdr:rowOff>190499</xdr:rowOff>
    </xdr:from>
    <xdr:to>
      <xdr:col>2</xdr:col>
      <xdr:colOff>123825</xdr:colOff>
      <xdr:row>20</xdr:row>
      <xdr:rowOff>142874</xdr:rowOff>
    </xdr:to>
    <xdr:sp macro="" textlink="">
      <xdr:nvSpPr>
        <xdr:cNvPr id="8" name="Speech Bubble: 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BB9729-70F4-4EDB-83D3-7D3E154622F0}"/>
            </a:ext>
          </a:extLst>
        </xdr:cNvPr>
        <xdr:cNvSpPr/>
      </xdr:nvSpPr>
      <xdr:spPr>
        <a:xfrm>
          <a:off x="409575" y="4019549"/>
          <a:ext cx="933450" cy="35242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8-SEP-26</a:t>
          </a:r>
        </a:p>
      </xdr:txBody>
    </xdr:sp>
    <xdr:clientData/>
  </xdr:twoCellAnchor>
  <xdr:twoCellAnchor>
    <xdr:from>
      <xdr:col>0</xdr:col>
      <xdr:colOff>438150</xdr:colOff>
      <xdr:row>21</xdr:row>
      <xdr:rowOff>123825</xdr:rowOff>
    </xdr:from>
    <xdr:to>
      <xdr:col>2</xdr:col>
      <xdr:colOff>133350</xdr:colOff>
      <xdr:row>23</xdr:row>
      <xdr:rowOff>123824</xdr:rowOff>
    </xdr:to>
    <xdr:sp macro="" textlink="">
      <xdr:nvSpPr>
        <xdr:cNvPr id="9" name="Speech Bubble: 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3196107-89BA-44C6-A3F4-D9D91D412532}"/>
            </a:ext>
          </a:extLst>
        </xdr:cNvPr>
        <xdr:cNvSpPr/>
      </xdr:nvSpPr>
      <xdr:spPr>
        <a:xfrm>
          <a:off x="438150" y="4552950"/>
          <a:ext cx="914400" cy="400049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9-SEP-26</a:t>
          </a:r>
        </a:p>
      </xdr:txBody>
    </xdr:sp>
    <xdr:clientData/>
  </xdr:twoCellAnchor>
  <xdr:twoCellAnchor>
    <xdr:from>
      <xdr:col>0</xdr:col>
      <xdr:colOff>447675</xdr:colOff>
      <xdr:row>24</xdr:row>
      <xdr:rowOff>114300</xdr:rowOff>
    </xdr:from>
    <xdr:to>
      <xdr:col>2</xdr:col>
      <xdr:colOff>161925</xdr:colOff>
      <xdr:row>26</xdr:row>
      <xdr:rowOff>76199</xdr:rowOff>
    </xdr:to>
    <xdr:sp macro="" textlink="">
      <xdr:nvSpPr>
        <xdr:cNvPr id="10" name="Speech Bubble: 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41758E-B6CA-439B-BA87-D281BFBBE3C3}"/>
            </a:ext>
          </a:extLst>
        </xdr:cNvPr>
        <xdr:cNvSpPr/>
      </xdr:nvSpPr>
      <xdr:spPr>
        <a:xfrm>
          <a:off x="447675" y="5143500"/>
          <a:ext cx="933450" cy="361949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10-SEP-26</a:t>
          </a:r>
        </a:p>
      </xdr:txBody>
    </xdr:sp>
    <xdr:clientData/>
  </xdr:twoCellAnchor>
  <xdr:twoCellAnchor>
    <xdr:from>
      <xdr:col>0</xdr:col>
      <xdr:colOff>447675</xdr:colOff>
      <xdr:row>27</xdr:row>
      <xdr:rowOff>19050</xdr:rowOff>
    </xdr:from>
    <xdr:to>
      <xdr:col>2</xdr:col>
      <xdr:colOff>161925</xdr:colOff>
      <xdr:row>28</xdr:row>
      <xdr:rowOff>104775</xdr:rowOff>
    </xdr:to>
    <xdr:sp macro="" textlink="">
      <xdr:nvSpPr>
        <xdr:cNvPr id="11" name="Speech Bubble: 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483E9E6-BB5F-4A3A-A6DB-DB6B69312D5C}"/>
            </a:ext>
          </a:extLst>
        </xdr:cNvPr>
        <xdr:cNvSpPr/>
      </xdr:nvSpPr>
      <xdr:spPr>
        <a:xfrm>
          <a:off x="447675" y="564832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11-SEP-26</a:t>
          </a:r>
        </a:p>
      </xdr:txBody>
    </xdr:sp>
    <xdr:clientData/>
  </xdr:twoCellAnchor>
  <xdr:twoCellAnchor>
    <xdr:from>
      <xdr:col>0</xdr:col>
      <xdr:colOff>447675</xdr:colOff>
      <xdr:row>29</xdr:row>
      <xdr:rowOff>28575</xdr:rowOff>
    </xdr:from>
    <xdr:to>
      <xdr:col>2</xdr:col>
      <xdr:colOff>161925</xdr:colOff>
      <xdr:row>30</xdr:row>
      <xdr:rowOff>114300</xdr:rowOff>
    </xdr:to>
    <xdr:sp macro="" textlink="">
      <xdr:nvSpPr>
        <xdr:cNvPr id="12" name="Speech Bubble: 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2F0C1BA-7B1B-429C-8273-7F9054CC1FEF}"/>
            </a:ext>
          </a:extLst>
        </xdr:cNvPr>
        <xdr:cNvSpPr/>
      </xdr:nvSpPr>
      <xdr:spPr>
        <a:xfrm>
          <a:off x="447675" y="6057900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12-SEP-26</a:t>
          </a:r>
        </a:p>
      </xdr:txBody>
    </xdr:sp>
    <xdr:clientData/>
  </xdr:twoCellAnchor>
  <xdr:twoCellAnchor>
    <xdr:from>
      <xdr:col>0</xdr:col>
      <xdr:colOff>457200</xdr:colOff>
      <xdr:row>31</xdr:row>
      <xdr:rowOff>57150</xdr:rowOff>
    </xdr:from>
    <xdr:to>
      <xdr:col>2</xdr:col>
      <xdr:colOff>171450</xdr:colOff>
      <xdr:row>32</xdr:row>
      <xdr:rowOff>142875</xdr:rowOff>
    </xdr:to>
    <xdr:sp macro="" textlink="">
      <xdr:nvSpPr>
        <xdr:cNvPr id="13" name="Speech Bubble: Rectangl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E635411-E39D-4F2A-930A-E263FE782037}"/>
            </a:ext>
          </a:extLst>
        </xdr:cNvPr>
        <xdr:cNvSpPr/>
      </xdr:nvSpPr>
      <xdr:spPr>
        <a:xfrm>
          <a:off x="457200" y="648652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14-SEP-26</a:t>
          </a:r>
        </a:p>
      </xdr:txBody>
    </xdr:sp>
    <xdr:clientData/>
  </xdr:twoCellAnchor>
  <xdr:twoCellAnchor>
    <xdr:from>
      <xdr:col>0</xdr:col>
      <xdr:colOff>457200</xdr:colOff>
      <xdr:row>33</xdr:row>
      <xdr:rowOff>57150</xdr:rowOff>
    </xdr:from>
    <xdr:to>
      <xdr:col>2</xdr:col>
      <xdr:colOff>171450</xdr:colOff>
      <xdr:row>34</xdr:row>
      <xdr:rowOff>161925</xdr:rowOff>
    </xdr:to>
    <xdr:sp macro="" textlink="">
      <xdr:nvSpPr>
        <xdr:cNvPr id="14" name="Speech Bubble: Rectangl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CB28BF-2C90-42BB-95C4-25844042D578}"/>
            </a:ext>
          </a:extLst>
        </xdr:cNvPr>
        <xdr:cNvSpPr/>
      </xdr:nvSpPr>
      <xdr:spPr>
        <a:xfrm>
          <a:off x="457200" y="6886575"/>
          <a:ext cx="933450" cy="30480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15-SEP-26</a:t>
          </a:r>
        </a:p>
      </xdr:txBody>
    </xdr:sp>
    <xdr:clientData/>
  </xdr:twoCellAnchor>
  <xdr:twoCellAnchor>
    <xdr:from>
      <xdr:col>0</xdr:col>
      <xdr:colOff>457200</xdr:colOff>
      <xdr:row>35</xdr:row>
      <xdr:rowOff>66675</xdr:rowOff>
    </xdr:from>
    <xdr:to>
      <xdr:col>2</xdr:col>
      <xdr:colOff>171450</xdr:colOff>
      <xdr:row>36</xdr:row>
      <xdr:rowOff>152400</xdr:rowOff>
    </xdr:to>
    <xdr:sp macro="" textlink="">
      <xdr:nvSpPr>
        <xdr:cNvPr id="15" name="Speech Bubble: Rectangl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469D2FE-C517-4EE4-B5B1-2C7E36701D96}"/>
            </a:ext>
          </a:extLst>
        </xdr:cNvPr>
        <xdr:cNvSpPr/>
      </xdr:nvSpPr>
      <xdr:spPr>
        <a:xfrm>
          <a:off x="457200" y="7296150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16-SEP-25</a:t>
          </a:r>
        </a:p>
      </xdr:txBody>
    </xdr:sp>
    <xdr:clientData/>
  </xdr:twoCellAnchor>
  <xdr:twoCellAnchor>
    <xdr:from>
      <xdr:col>0</xdr:col>
      <xdr:colOff>457200</xdr:colOff>
      <xdr:row>37</xdr:row>
      <xdr:rowOff>95250</xdr:rowOff>
    </xdr:from>
    <xdr:to>
      <xdr:col>2</xdr:col>
      <xdr:colOff>171450</xdr:colOff>
      <xdr:row>38</xdr:row>
      <xdr:rowOff>180975</xdr:rowOff>
    </xdr:to>
    <xdr:sp macro="" textlink="">
      <xdr:nvSpPr>
        <xdr:cNvPr id="16" name="Speech Bubble: Rectangl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BDB0BEF-F2EF-4946-AE4B-CD9802305424}"/>
            </a:ext>
          </a:extLst>
        </xdr:cNvPr>
        <xdr:cNvSpPr/>
      </xdr:nvSpPr>
      <xdr:spPr>
        <a:xfrm>
          <a:off x="457200" y="772477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17-SEP-26</a:t>
          </a:r>
        </a:p>
      </xdr:txBody>
    </xdr:sp>
    <xdr:clientData/>
  </xdr:twoCellAnchor>
  <xdr:twoCellAnchor>
    <xdr:from>
      <xdr:col>0</xdr:col>
      <xdr:colOff>457200</xdr:colOff>
      <xdr:row>39</xdr:row>
      <xdr:rowOff>114300</xdr:rowOff>
    </xdr:from>
    <xdr:to>
      <xdr:col>2</xdr:col>
      <xdr:colOff>171450</xdr:colOff>
      <xdr:row>41</xdr:row>
      <xdr:rowOff>9525</xdr:rowOff>
    </xdr:to>
    <xdr:sp macro="" textlink="">
      <xdr:nvSpPr>
        <xdr:cNvPr id="17" name="Speech Bubble: Rectangl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4822E0C-A50E-4980-BBD7-E481F559A05D}"/>
            </a:ext>
          </a:extLst>
        </xdr:cNvPr>
        <xdr:cNvSpPr/>
      </xdr:nvSpPr>
      <xdr:spPr>
        <a:xfrm>
          <a:off x="457200" y="8143875"/>
          <a:ext cx="933450" cy="295275"/>
        </a:xfrm>
        <a:prstGeom prst="wedgeRectCallou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18-SEP-26</a:t>
          </a:r>
        </a:p>
      </xdr:txBody>
    </xdr:sp>
    <xdr:clientData/>
  </xdr:twoCellAnchor>
  <xdr:twoCellAnchor>
    <xdr:from>
      <xdr:col>0</xdr:col>
      <xdr:colOff>457200</xdr:colOff>
      <xdr:row>41</xdr:row>
      <xdr:rowOff>114300</xdr:rowOff>
    </xdr:from>
    <xdr:to>
      <xdr:col>2</xdr:col>
      <xdr:colOff>171450</xdr:colOff>
      <xdr:row>43</xdr:row>
      <xdr:rowOff>9525</xdr:rowOff>
    </xdr:to>
    <xdr:sp macro="" textlink="">
      <xdr:nvSpPr>
        <xdr:cNvPr id="18" name="Speech Bubble: Rectangl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0BAB1AB-1F1B-402D-A4D0-08529BF84321}"/>
            </a:ext>
          </a:extLst>
        </xdr:cNvPr>
        <xdr:cNvSpPr/>
      </xdr:nvSpPr>
      <xdr:spPr>
        <a:xfrm>
          <a:off x="457200" y="8543925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19-SEP-26</a:t>
          </a:r>
        </a:p>
      </xdr:txBody>
    </xdr:sp>
    <xdr:clientData/>
  </xdr:twoCellAnchor>
  <xdr:twoCellAnchor>
    <xdr:from>
      <xdr:col>0</xdr:col>
      <xdr:colOff>457200</xdr:colOff>
      <xdr:row>43</xdr:row>
      <xdr:rowOff>142875</xdr:rowOff>
    </xdr:from>
    <xdr:to>
      <xdr:col>2</xdr:col>
      <xdr:colOff>171450</xdr:colOff>
      <xdr:row>45</xdr:row>
      <xdr:rowOff>38100</xdr:rowOff>
    </xdr:to>
    <xdr:sp macro="" textlink="">
      <xdr:nvSpPr>
        <xdr:cNvPr id="19" name="Speech Bubble: Rectangl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D47EC0E-6CC9-449C-A3AA-AA73926E4185}"/>
            </a:ext>
          </a:extLst>
        </xdr:cNvPr>
        <xdr:cNvSpPr/>
      </xdr:nvSpPr>
      <xdr:spPr>
        <a:xfrm>
          <a:off x="457200" y="897255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21-SEP-26</a:t>
          </a:r>
        </a:p>
      </xdr:txBody>
    </xdr:sp>
    <xdr:clientData/>
  </xdr:twoCellAnchor>
  <xdr:twoCellAnchor>
    <xdr:from>
      <xdr:col>0</xdr:col>
      <xdr:colOff>457200</xdr:colOff>
      <xdr:row>45</xdr:row>
      <xdr:rowOff>180975</xdr:rowOff>
    </xdr:from>
    <xdr:to>
      <xdr:col>2</xdr:col>
      <xdr:colOff>171450</xdr:colOff>
      <xdr:row>47</xdr:row>
      <xdr:rowOff>76200</xdr:rowOff>
    </xdr:to>
    <xdr:sp macro="" textlink="">
      <xdr:nvSpPr>
        <xdr:cNvPr id="20" name="Speech Bubble: Rectangl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DDEC2BF-F7B3-44C6-A94C-F85D16F83DC3}"/>
            </a:ext>
          </a:extLst>
        </xdr:cNvPr>
        <xdr:cNvSpPr/>
      </xdr:nvSpPr>
      <xdr:spPr>
        <a:xfrm>
          <a:off x="457200" y="941070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22-SEP-26</a:t>
          </a:r>
        </a:p>
      </xdr:txBody>
    </xdr:sp>
    <xdr:clientData/>
  </xdr:twoCellAnchor>
  <xdr:twoCellAnchor>
    <xdr:from>
      <xdr:col>0</xdr:col>
      <xdr:colOff>457200</xdr:colOff>
      <xdr:row>47</xdr:row>
      <xdr:rowOff>180975</xdr:rowOff>
    </xdr:from>
    <xdr:to>
      <xdr:col>2</xdr:col>
      <xdr:colOff>171450</xdr:colOff>
      <xdr:row>49</xdr:row>
      <xdr:rowOff>76200</xdr:rowOff>
    </xdr:to>
    <xdr:sp macro="" textlink="">
      <xdr:nvSpPr>
        <xdr:cNvPr id="21" name="Speech Bubble: Rectangl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C250C99-C73B-49F9-AD03-BD8FFD62DB86}"/>
            </a:ext>
          </a:extLst>
        </xdr:cNvPr>
        <xdr:cNvSpPr/>
      </xdr:nvSpPr>
      <xdr:spPr>
        <a:xfrm>
          <a:off x="457200" y="981075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23-SEP-26</a:t>
          </a:r>
        </a:p>
      </xdr:txBody>
    </xdr:sp>
    <xdr:clientData/>
  </xdr:twoCellAnchor>
  <xdr:twoCellAnchor>
    <xdr:from>
      <xdr:col>0</xdr:col>
      <xdr:colOff>457200</xdr:colOff>
      <xdr:row>49</xdr:row>
      <xdr:rowOff>180975</xdr:rowOff>
    </xdr:from>
    <xdr:to>
      <xdr:col>2</xdr:col>
      <xdr:colOff>171450</xdr:colOff>
      <xdr:row>51</xdr:row>
      <xdr:rowOff>76200</xdr:rowOff>
    </xdr:to>
    <xdr:sp macro="" textlink="">
      <xdr:nvSpPr>
        <xdr:cNvPr id="22" name="Speech Bubble: Rectangl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466F4F6-D8D7-47E0-A2ED-9F2727FE207B}"/>
            </a:ext>
          </a:extLst>
        </xdr:cNvPr>
        <xdr:cNvSpPr/>
      </xdr:nvSpPr>
      <xdr:spPr>
        <a:xfrm>
          <a:off x="457200" y="10210800"/>
          <a:ext cx="933450" cy="2952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24-SEP-26</a:t>
          </a:r>
        </a:p>
      </xdr:txBody>
    </xdr:sp>
    <xdr:clientData/>
  </xdr:twoCellAnchor>
  <xdr:twoCellAnchor>
    <xdr:from>
      <xdr:col>0</xdr:col>
      <xdr:colOff>457200</xdr:colOff>
      <xdr:row>52</xdr:row>
      <xdr:rowOff>0</xdr:rowOff>
    </xdr:from>
    <xdr:to>
      <xdr:col>2</xdr:col>
      <xdr:colOff>171450</xdr:colOff>
      <xdr:row>53</xdr:row>
      <xdr:rowOff>85725</xdr:rowOff>
    </xdr:to>
    <xdr:sp macro="" textlink="">
      <xdr:nvSpPr>
        <xdr:cNvPr id="23" name="Speech Bubble: Rectangl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AC843B1-E81F-4B4F-B285-2E40766AA9D3}"/>
            </a:ext>
          </a:extLst>
        </xdr:cNvPr>
        <xdr:cNvSpPr/>
      </xdr:nvSpPr>
      <xdr:spPr>
        <a:xfrm>
          <a:off x="457200" y="10629900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25-SEP-26</a:t>
          </a:r>
        </a:p>
      </xdr:txBody>
    </xdr:sp>
    <xdr:clientData/>
  </xdr:twoCellAnchor>
  <xdr:twoCellAnchor>
    <xdr:from>
      <xdr:col>0</xdr:col>
      <xdr:colOff>457200</xdr:colOff>
      <xdr:row>54</xdr:row>
      <xdr:rowOff>9525</xdr:rowOff>
    </xdr:from>
    <xdr:to>
      <xdr:col>2</xdr:col>
      <xdr:colOff>171450</xdr:colOff>
      <xdr:row>55</xdr:row>
      <xdr:rowOff>95250</xdr:rowOff>
    </xdr:to>
    <xdr:sp macro="" textlink="">
      <xdr:nvSpPr>
        <xdr:cNvPr id="24" name="Speech Bubble: Rectangl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F06820B-A391-48F1-BDBB-270759E88EA8}"/>
            </a:ext>
          </a:extLst>
        </xdr:cNvPr>
        <xdr:cNvSpPr/>
      </xdr:nvSpPr>
      <xdr:spPr>
        <a:xfrm>
          <a:off x="457200" y="1103947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26-SEP-26</a:t>
          </a:r>
        </a:p>
      </xdr:txBody>
    </xdr:sp>
    <xdr:clientData/>
  </xdr:twoCellAnchor>
  <xdr:twoCellAnchor>
    <xdr:from>
      <xdr:col>0</xdr:col>
      <xdr:colOff>457200</xdr:colOff>
      <xdr:row>56</xdr:row>
      <xdr:rowOff>38100</xdr:rowOff>
    </xdr:from>
    <xdr:to>
      <xdr:col>2</xdr:col>
      <xdr:colOff>171450</xdr:colOff>
      <xdr:row>57</xdr:row>
      <xdr:rowOff>123825</xdr:rowOff>
    </xdr:to>
    <xdr:sp macro="" textlink="">
      <xdr:nvSpPr>
        <xdr:cNvPr id="25" name="Speech Bubble: Rectangl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29DAD69-B939-448A-95C9-305394365E4E}"/>
            </a:ext>
          </a:extLst>
        </xdr:cNvPr>
        <xdr:cNvSpPr/>
      </xdr:nvSpPr>
      <xdr:spPr>
        <a:xfrm>
          <a:off x="457200" y="11468100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28-SEP-26</a:t>
          </a:r>
        </a:p>
      </xdr:txBody>
    </xdr:sp>
    <xdr:clientData/>
  </xdr:twoCellAnchor>
  <xdr:twoCellAnchor>
    <xdr:from>
      <xdr:col>0</xdr:col>
      <xdr:colOff>457200</xdr:colOff>
      <xdr:row>58</xdr:row>
      <xdr:rowOff>57150</xdr:rowOff>
    </xdr:from>
    <xdr:to>
      <xdr:col>2</xdr:col>
      <xdr:colOff>171450</xdr:colOff>
      <xdr:row>59</xdr:row>
      <xdr:rowOff>142875</xdr:rowOff>
    </xdr:to>
    <xdr:sp macro="" textlink="">
      <xdr:nvSpPr>
        <xdr:cNvPr id="26" name="Speech Bubble: Rectangl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D057A85-3C1F-4D8D-A12F-7188D769E4A7}"/>
            </a:ext>
          </a:extLst>
        </xdr:cNvPr>
        <xdr:cNvSpPr/>
      </xdr:nvSpPr>
      <xdr:spPr>
        <a:xfrm>
          <a:off x="457200" y="11887200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29-SEP-26</a:t>
          </a:r>
        </a:p>
      </xdr:txBody>
    </xdr:sp>
    <xdr:clientData/>
  </xdr:twoCellAnchor>
  <xdr:twoCellAnchor>
    <xdr:from>
      <xdr:col>0</xdr:col>
      <xdr:colOff>457200</xdr:colOff>
      <xdr:row>60</xdr:row>
      <xdr:rowOff>85725</xdr:rowOff>
    </xdr:from>
    <xdr:to>
      <xdr:col>2</xdr:col>
      <xdr:colOff>171450</xdr:colOff>
      <xdr:row>61</xdr:row>
      <xdr:rowOff>171450</xdr:rowOff>
    </xdr:to>
    <xdr:sp macro="" textlink="">
      <xdr:nvSpPr>
        <xdr:cNvPr id="27" name="Speech Bubble: Rectangl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A46906C-9783-4C83-BA06-68CA939A1637}"/>
            </a:ext>
          </a:extLst>
        </xdr:cNvPr>
        <xdr:cNvSpPr/>
      </xdr:nvSpPr>
      <xdr:spPr>
        <a:xfrm>
          <a:off x="457200" y="12315825"/>
          <a:ext cx="933450" cy="28575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30-SEP-26</a:t>
          </a:r>
        </a:p>
      </xdr:txBody>
    </xdr:sp>
    <xdr:clientData/>
  </xdr:twoCellAnchor>
  <xdr:twoCellAnchor editAs="oneCell">
    <xdr:from>
      <xdr:col>0</xdr:col>
      <xdr:colOff>600075</xdr:colOff>
      <xdr:row>1</xdr:row>
      <xdr:rowOff>0</xdr:rowOff>
    </xdr:from>
    <xdr:to>
      <xdr:col>1</xdr:col>
      <xdr:colOff>457200</xdr:colOff>
      <xdr:row>2</xdr:row>
      <xdr:rowOff>276225</xdr:rowOff>
    </xdr:to>
    <xdr:pic>
      <xdr:nvPicPr>
        <xdr:cNvPr id="28" name="Graphic 27" descr="Work from home Wi-Fi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8460420-401F-427A-9CB4-04B89E97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600075" y="200025"/>
          <a:ext cx="466725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RENUZI%20LEKKI/Downloads/RENUZI_VENTURES_LIMITED_-_LEKKI_GT_-_Inventory_Item_List_RVLGT%20-%202026-09-18T165820.984.xlsx" TargetMode="External" /><Relationship Id="rId1" Type="http://schemas.openxmlformats.org/officeDocument/2006/relationships/externalLinkPath" Target="file:///C:/Users/RENUZI%20LEKKI/Downloads/RENUZI_VENTURES_LIMITED_-_LEKKI_GT_-_Inventory_Item_List_RVLGT%20-%202026-09-18T165820.984.xlsx" TargetMode="External" 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RENUZI%20LEKKI/Downloads/UKL%20Physical%20Stock%20Report-206.xlsx" TargetMode="External" /><Relationship Id="rId1" Type="http://schemas.openxmlformats.org/officeDocument/2006/relationships/externalLinkPath" Target="file:///C:/Users/RENUZI%20LEKKI/Downloads/UKL%20Physical%20Stock%20Report-206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Item List"/>
    </sheetNames>
    <sheetDataSet>
      <sheetData sheetId="0" refreshError="1">
        <row r="8">
          <cell r="A8" t="str">
            <v>TDV93794B</v>
          </cell>
          <cell r="E8">
            <v>0</v>
          </cell>
        </row>
        <row r="9">
          <cell r="A9" t="str">
            <v>TDV93795</v>
          </cell>
          <cell r="E9">
            <v>0</v>
          </cell>
        </row>
        <row r="10">
          <cell r="A10" t="str">
            <v>TDV94448</v>
          </cell>
          <cell r="E10">
            <v>0</v>
          </cell>
        </row>
        <row r="11">
          <cell r="A11" t="str">
            <v>TDV93793</v>
          </cell>
          <cell r="E11">
            <v>0</v>
          </cell>
        </row>
        <row r="12">
          <cell r="A12" t="str">
            <v>TDV94376</v>
          </cell>
          <cell r="E12">
            <v>0</v>
          </cell>
        </row>
        <row r="13">
          <cell r="A13" t="str">
            <v>65225884</v>
          </cell>
          <cell r="E13">
            <v>233</v>
          </cell>
        </row>
        <row r="14">
          <cell r="A14" t="str">
            <v>69654190</v>
          </cell>
          <cell r="E14">
            <v>2.6667000000000001</v>
          </cell>
        </row>
        <row r="15">
          <cell r="A15" t="str">
            <v>62768295</v>
          </cell>
          <cell r="E15">
            <v>20</v>
          </cell>
        </row>
        <row r="16">
          <cell r="A16" t="str">
            <v>65225883</v>
          </cell>
          <cell r="E16">
            <v>3.25</v>
          </cell>
        </row>
        <row r="17">
          <cell r="A17" t="str">
            <v>68359397</v>
          </cell>
          <cell r="E17">
            <v>0</v>
          </cell>
        </row>
        <row r="18">
          <cell r="A18" t="str">
            <v>68353982</v>
          </cell>
          <cell r="E18">
            <v>11</v>
          </cell>
        </row>
        <row r="19">
          <cell r="A19" t="str">
            <v>65439627</v>
          </cell>
          <cell r="E19">
            <v>316</v>
          </cell>
        </row>
        <row r="20">
          <cell r="A20" t="str">
            <v>64817465</v>
          </cell>
          <cell r="E20">
            <v>8.5</v>
          </cell>
        </row>
        <row r="21">
          <cell r="A21" t="str">
            <v>68275727</v>
          </cell>
          <cell r="E21">
            <v>132.19999999999999</v>
          </cell>
        </row>
        <row r="22">
          <cell r="A22" t="str">
            <v>65762767</v>
          </cell>
          <cell r="E22">
            <v>20</v>
          </cell>
        </row>
        <row r="23">
          <cell r="A23" t="str">
            <v>62729982</v>
          </cell>
          <cell r="E23">
            <v>0</v>
          </cell>
        </row>
        <row r="24">
          <cell r="A24" t="str">
            <v>65640762</v>
          </cell>
          <cell r="E24">
            <v>481</v>
          </cell>
        </row>
        <row r="25">
          <cell r="A25" t="str">
            <v>69790471</v>
          </cell>
          <cell r="E25">
            <v>78</v>
          </cell>
        </row>
        <row r="26">
          <cell r="A26" t="str">
            <v>69790460</v>
          </cell>
          <cell r="E26">
            <v>603.79999999999995</v>
          </cell>
        </row>
        <row r="27">
          <cell r="A27" t="str">
            <v>62729974</v>
          </cell>
          <cell r="E27">
            <v>866.40989999999999</v>
          </cell>
        </row>
        <row r="28">
          <cell r="A28" t="str">
            <v>64925742</v>
          </cell>
          <cell r="E28">
            <v>151</v>
          </cell>
        </row>
        <row r="29">
          <cell r="A29" t="str">
            <v>FGDW013</v>
          </cell>
          <cell r="E29">
            <v>17</v>
          </cell>
        </row>
        <row r="30">
          <cell r="A30" t="str">
            <v>FGDW004</v>
          </cell>
          <cell r="E30">
            <v>15</v>
          </cell>
        </row>
        <row r="31">
          <cell r="A31" t="str">
            <v>FGDW001</v>
          </cell>
          <cell r="E31">
            <v>0</v>
          </cell>
        </row>
        <row r="32">
          <cell r="A32" t="str">
            <v>FGDW008</v>
          </cell>
          <cell r="E32">
            <v>0</v>
          </cell>
        </row>
        <row r="33">
          <cell r="A33" t="str">
            <v>FGDW005</v>
          </cell>
          <cell r="E33">
            <v>0</v>
          </cell>
        </row>
        <row r="34">
          <cell r="A34" t="str">
            <v>FGDW002</v>
          </cell>
          <cell r="E34">
            <v>0</v>
          </cell>
        </row>
        <row r="35">
          <cell r="A35" t="str">
            <v>FGDW009</v>
          </cell>
          <cell r="E35">
            <v>10</v>
          </cell>
        </row>
        <row r="36">
          <cell r="A36" t="str">
            <v>FGDW006</v>
          </cell>
          <cell r="E36">
            <v>6</v>
          </cell>
        </row>
        <row r="37">
          <cell r="A37" t="str">
            <v>FGDW003</v>
          </cell>
          <cell r="E37">
            <v>0</v>
          </cell>
        </row>
        <row r="38">
          <cell r="A38" t="str">
            <v>TDV90627</v>
          </cell>
          <cell r="E38">
            <v>0</v>
          </cell>
        </row>
        <row r="39">
          <cell r="A39" t="str">
            <v>TDV94143</v>
          </cell>
          <cell r="E39">
            <v>0</v>
          </cell>
        </row>
        <row r="40">
          <cell r="A40" t="str">
            <v>TDV94144</v>
          </cell>
          <cell r="E40">
            <v>0</v>
          </cell>
        </row>
        <row r="41">
          <cell r="A41" t="str">
            <v>TDV90630</v>
          </cell>
          <cell r="E41">
            <v>0</v>
          </cell>
        </row>
        <row r="42">
          <cell r="A42" t="str">
            <v>DOBSICA250ML</v>
          </cell>
          <cell r="E42">
            <v>0</v>
          </cell>
        </row>
        <row r="43">
          <cell r="A43" t="str">
            <v>TDV94015</v>
          </cell>
          <cell r="E43">
            <v>0</v>
          </cell>
        </row>
        <row r="44">
          <cell r="A44" t="str">
            <v>TDV94489</v>
          </cell>
          <cell r="E44">
            <v>0</v>
          </cell>
        </row>
        <row r="45">
          <cell r="A45" t="str">
            <v>69578306</v>
          </cell>
          <cell r="E45">
            <v>55</v>
          </cell>
        </row>
        <row r="46">
          <cell r="A46" t="str">
            <v>65230070</v>
          </cell>
          <cell r="E46">
            <v>99</v>
          </cell>
        </row>
        <row r="47">
          <cell r="A47" t="str">
            <v>64401562</v>
          </cell>
          <cell r="E47">
            <v>3195.1428000000001</v>
          </cell>
        </row>
        <row r="48">
          <cell r="A48" t="str">
            <v>64298579</v>
          </cell>
          <cell r="E48">
            <v>0</v>
          </cell>
        </row>
        <row r="49">
          <cell r="A49" t="str">
            <v>68137064</v>
          </cell>
          <cell r="E49">
            <v>22</v>
          </cell>
        </row>
        <row r="50">
          <cell r="A50" t="str">
            <v>32797212</v>
          </cell>
          <cell r="E50">
            <v>37</v>
          </cell>
        </row>
        <row r="51">
          <cell r="A51" t="str">
            <v>69578271</v>
          </cell>
          <cell r="E51">
            <v>65</v>
          </cell>
        </row>
        <row r="52">
          <cell r="A52" t="str">
            <v>64401568</v>
          </cell>
          <cell r="E52">
            <v>4470.3557000000001</v>
          </cell>
        </row>
        <row r="53">
          <cell r="A53" t="str">
            <v>68137086</v>
          </cell>
          <cell r="E53">
            <v>39</v>
          </cell>
        </row>
        <row r="54">
          <cell r="A54" t="str">
            <v>64888305</v>
          </cell>
          <cell r="E54">
            <v>0</v>
          </cell>
        </row>
        <row r="55">
          <cell r="A55" t="str">
            <v>67300841</v>
          </cell>
          <cell r="E55">
            <v>5.8367000000000004</v>
          </cell>
        </row>
        <row r="56">
          <cell r="A56" t="str">
            <v>67300844</v>
          </cell>
          <cell r="E56">
            <v>0</v>
          </cell>
        </row>
        <row r="57">
          <cell r="A57" t="str">
            <v>65737461</v>
          </cell>
          <cell r="E57">
            <v>156.5</v>
          </cell>
        </row>
        <row r="58">
          <cell r="A58" t="str">
            <v>32477042</v>
          </cell>
          <cell r="E58">
            <v>137</v>
          </cell>
        </row>
        <row r="59">
          <cell r="A59" t="str">
            <v>32008539</v>
          </cell>
          <cell r="E59">
            <v>81.75</v>
          </cell>
        </row>
        <row r="60">
          <cell r="A60" t="str">
            <v>LUX85GCP</v>
          </cell>
          <cell r="E60">
            <v>0</v>
          </cell>
        </row>
        <row r="61">
          <cell r="A61" t="str">
            <v>UN10012</v>
          </cell>
          <cell r="E61">
            <v>8.5</v>
          </cell>
        </row>
        <row r="62">
          <cell r="A62" t="str">
            <v>68479921</v>
          </cell>
          <cell r="E62">
            <v>0</v>
          </cell>
        </row>
        <row r="63">
          <cell r="A63" t="str">
            <v>67363284</v>
          </cell>
          <cell r="E63">
            <v>29.5</v>
          </cell>
        </row>
        <row r="64">
          <cell r="A64" t="str">
            <v>64997466</v>
          </cell>
          <cell r="E64">
            <v>0</v>
          </cell>
        </row>
        <row r="65">
          <cell r="A65" t="str">
            <v>32797229</v>
          </cell>
          <cell r="E65">
            <v>18.149999999999999</v>
          </cell>
        </row>
        <row r="66">
          <cell r="A66" t="str">
            <v>32797230</v>
          </cell>
          <cell r="E66">
            <v>82.254999999999995</v>
          </cell>
        </row>
        <row r="67">
          <cell r="A67" t="str">
            <v>FDPSNCH001</v>
          </cell>
          <cell r="E67">
            <v>0</v>
          </cell>
        </row>
        <row r="68">
          <cell r="A68" t="str">
            <v>FDPSNCH002</v>
          </cell>
          <cell r="E68">
            <v>0</v>
          </cell>
        </row>
        <row r="69">
          <cell r="A69" t="str">
            <v>FDPSNCH003</v>
          </cell>
          <cell r="E69">
            <v>0</v>
          </cell>
        </row>
        <row r="70">
          <cell r="A70" t="str">
            <v>FDPSNCH004</v>
          </cell>
          <cell r="E70">
            <v>0</v>
          </cell>
        </row>
        <row r="71">
          <cell r="A71" t="str">
            <v>FDPSNCH005</v>
          </cell>
          <cell r="E71">
            <v>0</v>
          </cell>
        </row>
        <row r="72">
          <cell r="A72" t="str">
            <v>FDPSNCH006</v>
          </cell>
          <cell r="E72">
            <v>0</v>
          </cell>
        </row>
        <row r="73">
          <cell r="A73" t="str">
            <v>FDPCOT058</v>
          </cell>
          <cell r="E73">
            <v>62</v>
          </cell>
        </row>
        <row r="74">
          <cell r="A74" t="str">
            <v>FDPCOT071</v>
          </cell>
          <cell r="E74">
            <v>0</v>
          </cell>
        </row>
        <row r="75">
          <cell r="A75" t="str">
            <v>FDPCOT074</v>
          </cell>
          <cell r="E75">
            <v>8</v>
          </cell>
        </row>
        <row r="76">
          <cell r="A76" t="str">
            <v>FDPCOT064</v>
          </cell>
          <cell r="E76">
            <v>1</v>
          </cell>
        </row>
        <row r="77">
          <cell r="A77" t="str">
            <v>FDPCOT070</v>
          </cell>
          <cell r="E77">
            <v>19</v>
          </cell>
        </row>
        <row r="78">
          <cell r="A78" t="str">
            <v>FDPCOT073</v>
          </cell>
          <cell r="E78">
            <v>16.995000000000001</v>
          </cell>
        </row>
        <row r="79">
          <cell r="A79" t="str">
            <v>FDPCOT072</v>
          </cell>
          <cell r="E79">
            <v>0</v>
          </cell>
        </row>
        <row r="80">
          <cell r="A80" t="str">
            <v>FDPCOT043</v>
          </cell>
          <cell r="E80">
            <v>37</v>
          </cell>
        </row>
        <row r="81">
          <cell r="A81" t="str">
            <v>65436912</v>
          </cell>
          <cell r="E81">
            <v>490</v>
          </cell>
        </row>
        <row r="82">
          <cell r="A82" t="str">
            <v>64317330</v>
          </cell>
          <cell r="E82">
            <v>1E-4</v>
          </cell>
        </row>
        <row r="83">
          <cell r="A83" t="str">
            <v>64864641</v>
          </cell>
          <cell r="E83">
            <v>98</v>
          </cell>
        </row>
        <row r="84">
          <cell r="A84" t="str">
            <v>69654193</v>
          </cell>
          <cell r="E84">
            <v>265.8</v>
          </cell>
        </row>
        <row r="85">
          <cell r="A85" t="str">
            <v>69655756</v>
          </cell>
          <cell r="E85">
            <v>0</v>
          </cell>
        </row>
        <row r="86">
          <cell r="A86" t="str">
            <v>69654208</v>
          </cell>
          <cell r="E86">
            <v>231.8</v>
          </cell>
        </row>
        <row r="87">
          <cell r="A87" t="str">
            <v>65436915</v>
          </cell>
          <cell r="E87">
            <v>0</v>
          </cell>
        </row>
        <row r="88">
          <cell r="A88" t="str">
            <v>64819114</v>
          </cell>
          <cell r="E88">
            <v>91.5</v>
          </cell>
        </row>
        <row r="89">
          <cell r="A89" t="str">
            <v>64943267</v>
          </cell>
          <cell r="E89">
            <v>297</v>
          </cell>
        </row>
        <row r="90">
          <cell r="A90" t="str">
            <v>64807107</v>
          </cell>
          <cell r="E90">
            <v>242.6</v>
          </cell>
        </row>
        <row r="91">
          <cell r="A91" t="str">
            <v>65640765</v>
          </cell>
          <cell r="E91">
            <v>183</v>
          </cell>
        </row>
        <row r="92">
          <cell r="A92" t="str">
            <v>62768303</v>
          </cell>
          <cell r="E92">
            <v>65.583399999999997</v>
          </cell>
        </row>
        <row r="93">
          <cell r="A93" t="str">
            <v>TDV23493</v>
          </cell>
          <cell r="E93">
            <v>0</v>
          </cell>
        </row>
        <row r="94">
          <cell r="A94" t="str">
            <v>TDV94128</v>
          </cell>
          <cell r="E94">
            <v>0</v>
          </cell>
        </row>
        <row r="95">
          <cell r="A95" t="str">
            <v>REXTCOOL</v>
          </cell>
          <cell r="E95">
            <v>0</v>
          </cell>
        </row>
        <row r="96">
          <cell r="A96" t="str">
            <v>TDV90635</v>
          </cell>
          <cell r="E96">
            <v>0</v>
          </cell>
        </row>
        <row r="97">
          <cell r="A97" t="str">
            <v>7791293049250</v>
          </cell>
          <cell r="E97">
            <v>0</v>
          </cell>
        </row>
        <row r="98">
          <cell r="A98" t="str">
            <v>7791293046662</v>
          </cell>
          <cell r="E98">
            <v>0</v>
          </cell>
        </row>
        <row r="99">
          <cell r="A99" t="str">
            <v>7791293046624</v>
          </cell>
          <cell r="E99">
            <v>0</v>
          </cell>
        </row>
        <row r="100">
          <cell r="A100" t="str">
            <v>8886304603275</v>
          </cell>
          <cell r="E100">
            <v>0</v>
          </cell>
        </row>
        <row r="101">
          <cell r="A101" t="str">
            <v>7791293046631</v>
          </cell>
          <cell r="E101">
            <v>0</v>
          </cell>
        </row>
        <row r="102">
          <cell r="A102" t="str">
            <v>7791293049267</v>
          </cell>
          <cell r="E102">
            <v>0</v>
          </cell>
        </row>
        <row r="103">
          <cell r="A103" t="str">
            <v>7791293046655</v>
          </cell>
          <cell r="E103">
            <v>0</v>
          </cell>
        </row>
        <row r="104">
          <cell r="A104" t="str">
            <v>7791293046648</v>
          </cell>
          <cell r="E104">
            <v>0</v>
          </cell>
        </row>
        <row r="105">
          <cell r="A105" t="str">
            <v>7791293046716</v>
          </cell>
          <cell r="E105">
            <v>0</v>
          </cell>
        </row>
        <row r="106">
          <cell r="A106" t="str">
            <v>7791293046693</v>
          </cell>
          <cell r="E106">
            <v>0</v>
          </cell>
        </row>
        <row r="107">
          <cell r="A107" t="str">
            <v>7791293049656</v>
          </cell>
          <cell r="E107">
            <v>0</v>
          </cell>
        </row>
        <row r="108">
          <cell r="A108" t="str">
            <v>7791293046686</v>
          </cell>
          <cell r="E108">
            <v>0</v>
          </cell>
        </row>
        <row r="109">
          <cell r="A109" t="str">
            <v>7791293046679</v>
          </cell>
          <cell r="E109">
            <v>0</v>
          </cell>
        </row>
        <row r="110">
          <cell r="A110" t="str">
            <v>7791293046709</v>
          </cell>
          <cell r="E110">
            <v>0</v>
          </cell>
        </row>
        <row r="111">
          <cell r="A111" t="str">
            <v>7791293049229</v>
          </cell>
          <cell r="E111">
            <v>0</v>
          </cell>
        </row>
        <row r="112">
          <cell r="A112" t="str">
            <v>7791293049663</v>
          </cell>
          <cell r="E112">
            <v>0</v>
          </cell>
        </row>
        <row r="113">
          <cell r="A113" t="str">
            <v>7791293049236</v>
          </cell>
          <cell r="E113">
            <v>0</v>
          </cell>
        </row>
        <row r="114">
          <cell r="A114" t="str">
            <v>65623826</v>
          </cell>
          <cell r="E114">
            <v>18.25</v>
          </cell>
        </row>
        <row r="115">
          <cell r="A115" t="str">
            <v>69639541</v>
          </cell>
          <cell r="E115">
            <v>0</v>
          </cell>
        </row>
        <row r="116">
          <cell r="A116" t="str">
            <v>69972130</v>
          </cell>
          <cell r="E116">
            <v>50</v>
          </cell>
        </row>
        <row r="117">
          <cell r="A117" t="str">
            <v>65623820</v>
          </cell>
          <cell r="E117">
            <v>31</v>
          </cell>
        </row>
        <row r="118">
          <cell r="A118" t="str">
            <v>69975975</v>
          </cell>
          <cell r="E118">
            <v>42.5017</v>
          </cell>
        </row>
        <row r="119">
          <cell r="A119" t="str">
            <v>65623832</v>
          </cell>
          <cell r="E119">
            <v>41.5</v>
          </cell>
        </row>
        <row r="120">
          <cell r="A120" t="str">
            <v>69972153</v>
          </cell>
          <cell r="E120">
            <v>0</v>
          </cell>
        </row>
        <row r="121">
          <cell r="A121" t="str">
            <v>69972162</v>
          </cell>
          <cell r="E121">
            <v>0</v>
          </cell>
        </row>
        <row r="122">
          <cell r="A122" t="str">
            <v>64797692</v>
          </cell>
          <cell r="E122">
            <v>27</v>
          </cell>
        </row>
        <row r="123">
          <cell r="A123" t="str">
            <v>67568581</v>
          </cell>
          <cell r="E123">
            <v>90</v>
          </cell>
        </row>
        <row r="124">
          <cell r="A124" t="str">
            <v>67612716</v>
          </cell>
          <cell r="E124">
            <v>0</v>
          </cell>
        </row>
        <row r="125">
          <cell r="A125" t="str">
            <v>CDFG000351</v>
          </cell>
          <cell r="E125">
            <v>6</v>
          </cell>
        </row>
        <row r="126">
          <cell r="A126" t="str">
            <v>CDFG000011</v>
          </cell>
          <cell r="E126">
            <v>0</v>
          </cell>
        </row>
        <row r="127">
          <cell r="A127" t="str">
            <v>CDFG000010</v>
          </cell>
          <cell r="E127">
            <v>0</v>
          </cell>
        </row>
        <row r="128">
          <cell r="A128" t="str">
            <v>CDFG000377</v>
          </cell>
          <cell r="E128">
            <v>6</v>
          </cell>
        </row>
        <row r="129">
          <cell r="A129" t="str">
            <v>CDFG000352</v>
          </cell>
          <cell r="E129">
            <v>3</v>
          </cell>
        </row>
        <row r="130">
          <cell r="A130" t="str">
            <v>CDFG000454</v>
          </cell>
          <cell r="E130">
            <v>4.5</v>
          </cell>
        </row>
        <row r="131">
          <cell r="A131" t="str">
            <v>CDFG000484</v>
          </cell>
          <cell r="E131">
            <v>0</v>
          </cell>
        </row>
        <row r="132">
          <cell r="A132" t="str">
            <v>CDFG000453</v>
          </cell>
          <cell r="E132">
            <v>0</v>
          </cell>
        </row>
        <row r="133">
          <cell r="A133" t="str">
            <v>CDFG000488</v>
          </cell>
          <cell r="E133">
            <v>0</v>
          </cell>
        </row>
        <row r="134">
          <cell r="A134" t="str">
            <v>CDFG000322</v>
          </cell>
          <cell r="E134">
            <v>9</v>
          </cell>
        </row>
        <row r="135">
          <cell r="A135" t="str">
            <v>CDFG000464</v>
          </cell>
          <cell r="E135">
            <v>0</v>
          </cell>
        </row>
        <row r="136">
          <cell r="A136" t="str">
            <v>CDFG00032</v>
          </cell>
          <cell r="E136">
            <v>0</v>
          </cell>
        </row>
        <row r="137">
          <cell r="A137" t="str">
            <v>CDFG000017</v>
          </cell>
          <cell r="E137">
            <v>0</v>
          </cell>
        </row>
        <row r="138">
          <cell r="A138" t="str">
            <v>CDFG000487</v>
          </cell>
          <cell r="E138">
            <v>0</v>
          </cell>
        </row>
        <row r="139">
          <cell r="A139" t="str">
            <v>CDFG000471</v>
          </cell>
          <cell r="E139">
            <v>0</v>
          </cell>
        </row>
        <row r="140">
          <cell r="A140" t="str">
            <v>CDFG000388</v>
          </cell>
          <cell r="E140">
            <v>0</v>
          </cell>
        </row>
        <row r="141">
          <cell r="A141" t="str">
            <v>CDFG000479</v>
          </cell>
          <cell r="E141">
            <v>0</v>
          </cell>
        </row>
        <row r="142">
          <cell r="A142" t="str">
            <v>CDFG000226</v>
          </cell>
          <cell r="E142">
            <v>0</v>
          </cell>
        </row>
        <row r="143">
          <cell r="A143" t="str">
            <v>CDFG000389</v>
          </cell>
          <cell r="E143">
            <v>1</v>
          </cell>
        </row>
        <row r="144">
          <cell r="A144" t="str">
            <v>CDFG000485</v>
          </cell>
          <cell r="E144">
            <v>3</v>
          </cell>
        </row>
        <row r="145">
          <cell r="A145" t="str">
            <v>CDFG000486</v>
          </cell>
          <cell r="E145">
            <v>0</v>
          </cell>
        </row>
        <row r="146">
          <cell r="A146" t="str">
            <v>CDFG000403</v>
          </cell>
          <cell r="E146">
            <v>5</v>
          </cell>
        </row>
        <row r="147">
          <cell r="A147" t="str">
            <v>CDFG000404</v>
          </cell>
          <cell r="E147">
            <v>0</v>
          </cell>
        </row>
        <row r="148">
          <cell r="A148" t="str">
            <v>65454451</v>
          </cell>
          <cell r="E148">
            <v>75.666700000000006</v>
          </cell>
        </row>
        <row r="149">
          <cell r="A149" t="str">
            <v>32050304</v>
          </cell>
          <cell r="E149">
            <v>39.622599999999998</v>
          </cell>
        </row>
        <row r="150">
          <cell r="A150" t="str">
            <v>64997464</v>
          </cell>
          <cell r="E150">
            <v>0</v>
          </cell>
        </row>
        <row r="151">
          <cell r="A151" t="str">
            <v>69983845</v>
          </cell>
          <cell r="E151">
            <v>50.75</v>
          </cell>
        </row>
        <row r="152">
          <cell r="A152" t="str">
            <v>69983850</v>
          </cell>
          <cell r="E152">
            <v>109.83580000000001</v>
          </cell>
        </row>
        <row r="153">
          <cell r="A153" t="str">
            <v>21087115</v>
          </cell>
          <cell r="E153">
            <v>16.875</v>
          </cell>
        </row>
        <row r="154">
          <cell r="A154" t="str">
            <v>21087112</v>
          </cell>
          <cell r="E154">
            <v>4.75</v>
          </cell>
        </row>
        <row r="155">
          <cell r="A155" t="str">
            <v>21087111</v>
          </cell>
          <cell r="E155">
            <v>9</v>
          </cell>
        </row>
        <row r="156">
          <cell r="A156" t="str">
            <v>20204888</v>
          </cell>
          <cell r="E156">
            <v>27.875</v>
          </cell>
        </row>
        <row r="157">
          <cell r="A157" t="str">
            <v>20268731</v>
          </cell>
          <cell r="E157">
            <v>1.375</v>
          </cell>
        </row>
        <row r="158">
          <cell r="A158" t="str">
            <v>65596186</v>
          </cell>
          <cell r="E158">
            <v>5</v>
          </cell>
        </row>
        <row r="159">
          <cell r="A159" t="str">
            <v>65596179</v>
          </cell>
          <cell r="E159">
            <v>0</v>
          </cell>
        </row>
        <row r="160">
          <cell r="A160" t="str">
            <v>65454443</v>
          </cell>
          <cell r="E160">
            <v>62.5</v>
          </cell>
        </row>
        <row r="161">
          <cell r="A161" t="str">
            <v>VASCR200ML</v>
          </cell>
          <cell r="E161">
            <v>0</v>
          </cell>
        </row>
        <row r="162">
          <cell r="A162" t="str">
            <v>8886467042560</v>
          </cell>
          <cell r="E162">
            <v>0</v>
          </cell>
        </row>
        <row r="163">
          <cell r="A163" t="str">
            <v>21087113</v>
          </cell>
          <cell r="E163">
            <v>8.6250999999999998</v>
          </cell>
        </row>
        <row r="164">
          <cell r="A164" t="str">
            <v>65595235</v>
          </cell>
          <cell r="E164">
            <v>10</v>
          </cell>
        </row>
        <row r="165">
          <cell r="A165" t="str">
            <v>Total</v>
          </cell>
          <cell r="E165">
            <v>14345.722199999998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KL Physical Stock Report"/>
      <sheetName val="Sheet1"/>
    </sheetNames>
    <sheetDataSet>
      <sheetData sheetId="0"/>
      <sheetData sheetId="1">
        <row r="2">
          <cell r="A2" t="str">
            <v>21060383</v>
          </cell>
          <cell r="C2">
            <v>0</v>
          </cell>
        </row>
        <row r="3">
          <cell r="A3" t="str">
            <v>21060394</v>
          </cell>
          <cell r="C3">
            <v>0</v>
          </cell>
        </row>
        <row r="4">
          <cell r="A4" t="str">
            <v>32797212</v>
          </cell>
          <cell r="C4">
            <v>27</v>
          </cell>
        </row>
        <row r="5">
          <cell r="A5" t="str">
            <v>32797213</v>
          </cell>
          <cell r="C5">
            <v>0</v>
          </cell>
        </row>
        <row r="6">
          <cell r="A6" t="str">
            <v>64298579</v>
          </cell>
          <cell r="C6">
            <v>0</v>
          </cell>
        </row>
        <row r="7">
          <cell r="A7" t="str">
            <v>64298584</v>
          </cell>
          <cell r="C7">
            <v>0</v>
          </cell>
        </row>
        <row r="8">
          <cell r="A8" t="str">
            <v>64401562</v>
          </cell>
          <cell r="C8">
            <v>1049</v>
          </cell>
        </row>
        <row r="9">
          <cell r="A9" t="str">
            <v>64401568</v>
          </cell>
          <cell r="C9">
            <v>4929</v>
          </cell>
        </row>
        <row r="10">
          <cell r="A10" t="str">
            <v>64401586</v>
          </cell>
          <cell r="C10">
            <v>0</v>
          </cell>
        </row>
        <row r="11">
          <cell r="A11" t="str">
            <v>64401592</v>
          </cell>
          <cell r="C11">
            <v>0</v>
          </cell>
        </row>
        <row r="12">
          <cell r="A12" t="str">
            <v>64888305</v>
          </cell>
          <cell r="C12">
            <v>1</v>
          </cell>
        </row>
        <row r="13">
          <cell r="A13" t="str">
            <v>65230070</v>
          </cell>
          <cell r="C13">
            <v>81</v>
          </cell>
        </row>
        <row r="14">
          <cell r="A14" t="str">
            <v>65737461</v>
          </cell>
          <cell r="C14">
            <v>177</v>
          </cell>
        </row>
        <row r="15">
          <cell r="A15" t="str">
            <v>67300841</v>
          </cell>
          <cell r="C15">
            <v>2</v>
          </cell>
        </row>
        <row r="16">
          <cell r="A16" t="str">
            <v>67300844</v>
          </cell>
          <cell r="C16">
            <v>0</v>
          </cell>
        </row>
        <row r="17">
          <cell r="A17" t="str">
            <v>67375073</v>
          </cell>
          <cell r="C17">
            <v>0</v>
          </cell>
        </row>
        <row r="18">
          <cell r="A18" t="str">
            <v>67375079</v>
          </cell>
          <cell r="C18">
            <v>0</v>
          </cell>
        </row>
        <row r="19">
          <cell r="A19" t="str">
            <v>67403186</v>
          </cell>
          <cell r="C19">
            <v>0</v>
          </cell>
        </row>
        <row r="20">
          <cell r="A20" t="str">
            <v>67403189</v>
          </cell>
          <cell r="C20">
            <v>0</v>
          </cell>
        </row>
        <row r="21">
          <cell r="A21" t="str">
            <v>67403194</v>
          </cell>
          <cell r="C21">
            <v>0</v>
          </cell>
        </row>
        <row r="22">
          <cell r="A22" t="str">
            <v>67568577</v>
          </cell>
          <cell r="C22">
            <v>0</v>
          </cell>
        </row>
        <row r="23">
          <cell r="A23" t="str">
            <v>67568579</v>
          </cell>
          <cell r="C23">
            <v>0</v>
          </cell>
        </row>
        <row r="24">
          <cell r="A24" t="str">
            <v>68126769</v>
          </cell>
          <cell r="C24">
            <v>0</v>
          </cell>
        </row>
        <row r="25">
          <cell r="A25" t="str">
            <v>68126771</v>
          </cell>
          <cell r="C25">
            <v>0</v>
          </cell>
        </row>
        <row r="26">
          <cell r="A26" t="str">
            <v>68126773</v>
          </cell>
          <cell r="C26">
            <v>0</v>
          </cell>
        </row>
        <row r="27">
          <cell r="A27" t="str">
            <v>68126775</v>
          </cell>
          <cell r="C27">
            <v>0</v>
          </cell>
        </row>
        <row r="28">
          <cell r="A28" t="str">
            <v>68137058</v>
          </cell>
          <cell r="C28">
            <v>0</v>
          </cell>
        </row>
        <row r="29">
          <cell r="A29" t="str">
            <v>68137062</v>
          </cell>
          <cell r="C29">
            <v>0</v>
          </cell>
        </row>
        <row r="30">
          <cell r="A30" t="str">
            <v>68137064</v>
          </cell>
          <cell r="C30">
            <v>10</v>
          </cell>
        </row>
        <row r="31">
          <cell r="A31" t="str">
            <v>68137067</v>
          </cell>
          <cell r="C31">
            <v>0</v>
          </cell>
        </row>
        <row r="32">
          <cell r="A32" t="str">
            <v>68137082</v>
          </cell>
          <cell r="C32">
            <v>0</v>
          </cell>
        </row>
        <row r="33">
          <cell r="A33" t="str">
            <v>68137086</v>
          </cell>
          <cell r="C33">
            <v>42</v>
          </cell>
        </row>
        <row r="34">
          <cell r="A34" t="str">
            <v>68291416</v>
          </cell>
          <cell r="C34">
            <v>0</v>
          </cell>
        </row>
        <row r="35">
          <cell r="A35" t="str">
            <v>68291462</v>
          </cell>
          <cell r="C35">
            <v>0</v>
          </cell>
        </row>
        <row r="36">
          <cell r="A36" t="str">
            <v>68371278</v>
          </cell>
          <cell r="C36">
            <v>0</v>
          </cell>
        </row>
        <row r="37">
          <cell r="A37" t="str">
            <v>68371281</v>
          </cell>
          <cell r="C37">
            <v>0</v>
          </cell>
        </row>
        <row r="38">
          <cell r="A38" t="str">
            <v>69578204</v>
          </cell>
          <cell r="C38">
            <v>0</v>
          </cell>
        </row>
        <row r="39">
          <cell r="A39" t="str">
            <v>69578234</v>
          </cell>
          <cell r="C39">
            <v>0</v>
          </cell>
        </row>
        <row r="40">
          <cell r="A40" t="str">
            <v>69578271</v>
          </cell>
          <cell r="C40">
            <v>48</v>
          </cell>
        </row>
        <row r="41">
          <cell r="A41" t="str">
            <v>69578306</v>
          </cell>
          <cell r="C41">
            <v>67</v>
          </cell>
        </row>
        <row r="42">
          <cell r="A42" t="str">
            <v>69581670</v>
          </cell>
          <cell r="C42">
            <v>0</v>
          </cell>
        </row>
        <row r="43">
          <cell r="A43" t="str">
            <v>69581672</v>
          </cell>
          <cell r="C43">
            <v>0</v>
          </cell>
        </row>
        <row r="44">
          <cell r="A44" t="str">
            <v>69588361</v>
          </cell>
          <cell r="C44">
            <v>0</v>
          </cell>
        </row>
        <row r="45">
          <cell r="A45" t="str">
            <v>69588363</v>
          </cell>
          <cell r="C45">
            <v>0</v>
          </cell>
        </row>
        <row r="46">
          <cell r="A46" t="str">
            <v>69588369</v>
          </cell>
          <cell r="C46">
            <v>0</v>
          </cell>
        </row>
        <row r="47">
          <cell r="A47" t="str">
            <v>69588395</v>
          </cell>
          <cell r="C47">
            <v>0</v>
          </cell>
        </row>
        <row r="48">
          <cell r="A48" t="str">
            <v>21060373</v>
          </cell>
          <cell r="C48">
            <v>0</v>
          </cell>
        </row>
        <row r="49">
          <cell r="A49" t="str">
            <v>64797692</v>
          </cell>
          <cell r="C49">
            <v>25</v>
          </cell>
        </row>
        <row r="50">
          <cell r="A50" t="str">
            <v>65342876</v>
          </cell>
          <cell r="C50">
            <v>0</v>
          </cell>
        </row>
        <row r="51">
          <cell r="A51" t="str">
            <v>67307658</v>
          </cell>
          <cell r="C51">
            <v>0</v>
          </cell>
        </row>
        <row r="52">
          <cell r="A52" t="str">
            <v>67403207</v>
          </cell>
          <cell r="C52">
            <v>0</v>
          </cell>
        </row>
        <row r="53">
          <cell r="A53" t="str">
            <v>67403237</v>
          </cell>
          <cell r="C53">
            <v>0</v>
          </cell>
        </row>
        <row r="54">
          <cell r="A54" t="str">
            <v>67568581</v>
          </cell>
          <cell r="C54">
            <v>92</v>
          </cell>
        </row>
        <row r="55">
          <cell r="A55" t="str">
            <v>67612716</v>
          </cell>
          <cell r="C55">
            <v>0</v>
          </cell>
        </row>
        <row r="56">
          <cell r="A56" t="str">
            <v>32440400</v>
          </cell>
          <cell r="C56">
            <v>0</v>
          </cell>
        </row>
        <row r="57">
          <cell r="A57" t="str">
            <v>32440401</v>
          </cell>
          <cell r="C57">
            <v>0</v>
          </cell>
        </row>
        <row r="58">
          <cell r="A58" t="str">
            <v>67676260</v>
          </cell>
          <cell r="C58">
            <v>0</v>
          </cell>
        </row>
        <row r="59">
          <cell r="A59" t="str">
            <v>67676262</v>
          </cell>
          <cell r="C59">
            <v>0</v>
          </cell>
        </row>
        <row r="60">
          <cell r="A60" t="str">
            <v>67306304</v>
          </cell>
          <cell r="C60">
            <v>0</v>
          </cell>
        </row>
        <row r="61">
          <cell r="A61" t="str">
            <v>67319522</v>
          </cell>
          <cell r="C61">
            <v>0</v>
          </cell>
        </row>
        <row r="62">
          <cell r="A62" t="str">
            <v>67429739</v>
          </cell>
          <cell r="C62">
            <v>0</v>
          </cell>
        </row>
        <row r="63">
          <cell r="A63" t="str">
            <v>32477042</v>
          </cell>
          <cell r="C63">
            <v>0</v>
          </cell>
        </row>
        <row r="64">
          <cell r="A64" t="str">
            <v>65304158</v>
          </cell>
          <cell r="C64">
            <v>0</v>
          </cell>
        </row>
        <row r="65">
          <cell r="A65" t="str">
            <v>67796954</v>
          </cell>
          <cell r="C65">
            <v>0</v>
          </cell>
        </row>
        <row r="66">
          <cell r="A66" t="str">
            <v>68271396</v>
          </cell>
          <cell r="C66">
            <v>0</v>
          </cell>
        </row>
        <row r="67">
          <cell r="A67" t="str">
            <v>68771712</v>
          </cell>
          <cell r="C67">
            <v>0</v>
          </cell>
        </row>
        <row r="68">
          <cell r="A68" t="str">
            <v>68484792</v>
          </cell>
          <cell r="C68">
            <v>0</v>
          </cell>
        </row>
        <row r="69">
          <cell r="A69" t="str">
            <v>32008539</v>
          </cell>
          <cell r="C69">
            <v>0</v>
          </cell>
        </row>
        <row r="70">
          <cell r="A70" t="str">
            <v>32476291</v>
          </cell>
          <cell r="C70">
            <v>0</v>
          </cell>
        </row>
        <row r="71">
          <cell r="A71" t="str">
            <v>32476292</v>
          </cell>
          <cell r="C71">
            <v>0</v>
          </cell>
        </row>
        <row r="72">
          <cell r="A72" t="str">
            <v>32801433</v>
          </cell>
          <cell r="C72">
            <v>0</v>
          </cell>
        </row>
        <row r="73">
          <cell r="A73" t="str">
            <v>65302757</v>
          </cell>
          <cell r="C73">
            <v>0</v>
          </cell>
        </row>
        <row r="74">
          <cell r="A74" t="str">
            <v>65302758</v>
          </cell>
          <cell r="C74">
            <v>0</v>
          </cell>
        </row>
        <row r="75">
          <cell r="A75" t="str">
            <v>65302759</v>
          </cell>
          <cell r="C75">
            <v>0</v>
          </cell>
        </row>
        <row r="76">
          <cell r="A76" t="str">
            <v>65302760</v>
          </cell>
          <cell r="C76">
            <v>0</v>
          </cell>
        </row>
        <row r="77">
          <cell r="A77" t="str">
            <v>65302761</v>
          </cell>
          <cell r="C77">
            <v>0</v>
          </cell>
        </row>
        <row r="78">
          <cell r="A78" t="str">
            <v>65304038</v>
          </cell>
          <cell r="C78">
            <v>0</v>
          </cell>
        </row>
        <row r="79">
          <cell r="A79" t="str">
            <v>65304039</v>
          </cell>
          <cell r="C79">
            <v>0</v>
          </cell>
        </row>
        <row r="80">
          <cell r="A80" t="str">
            <v>32044342</v>
          </cell>
          <cell r="C80">
            <v>0</v>
          </cell>
        </row>
        <row r="81">
          <cell r="A81" t="str">
            <v>32044350</v>
          </cell>
          <cell r="C81">
            <v>0</v>
          </cell>
        </row>
        <row r="82">
          <cell r="A82" t="str">
            <v>32044351</v>
          </cell>
          <cell r="C82">
            <v>0</v>
          </cell>
        </row>
        <row r="83">
          <cell r="A83" t="str">
            <v>32044352</v>
          </cell>
          <cell r="C83">
            <v>0</v>
          </cell>
        </row>
        <row r="84">
          <cell r="A84" t="str">
            <v>67329359</v>
          </cell>
          <cell r="C84">
            <v>0</v>
          </cell>
        </row>
        <row r="85">
          <cell r="A85" t="str">
            <v>67329362</v>
          </cell>
          <cell r="C85">
            <v>0</v>
          </cell>
        </row>
        <row r="86">
          <cell r="A86" t="str">
            <v>21159807</v>
          </cell>
          <cell r="C86">
            <v>0</v>
          </cell>
        </row>
        <row r="87">
          <cell r="A87" t="str">
            <v>21160091</v>
          </cell>
          <cell r="C87">
            <v>0</v>
          </cell>
        </row>
        <row r="88">
          <cell r="A88" t="str">
            <v>21160093</v>
          </cell>
          <cell r="C88">
            <v>0</v>
          </cell>
        </row>
        <row r="89">
          <cell r="A89" t="str">
            <v>67425655</v>
          </cell>
          <cell r="C89">
            <v>0</v>
          </cell>
        </row>
        <row r="90">
          <cell r="A90" t="str">
            <v>32038532</v>
          </cell>
          <cell r="C90">
            <v>0</v>
          </cell>
        </row>
        <row r="91">
          <cell r="A91" t="str">
            <v>32038546</v>
          </cell>
          <cell r="C91">
            <v>0</v>
          </cell>
        </row>
        <row r="92">
          <cell r="A92" t="str">
            <v>67289093</v>
          </cell>
          <cell r="C92">
            <v>0</v>
          </cell>
        </row>
        <row r="93">
          <cell r="A93" t="str">
            <v>67289097</v>
          </cell>
          <cell r="C93">
            <v>0</v>
          </cell>
        </row>
        <row r="94">
          <cell r="A94" t="str">
            <v>21095014</v>
          </cell>
          <cell r="C94">
            <v>0</v>
          </cell>
        </row>
        <row r="95">
          <cell r="A95" t="str">
            <v>21095015</v>
          </cell>
          <cell r="C95">
            <v>0</v>
          </cell>
        </row>
        <row r="96">
          <cell r="A96" t="str">
            <v>21108409</v>
          </cell>
          <cell r="C96">
            <v>0</v>
          </cell>
        </row>
        <row r="97">
          <cell r="A97" t="str">
            <v>32470232</v>
          </cell>
          <cell r="C97">
            <v>0</v>
          </cell>
        </row>
        <row r="98">
          <cell r="A98" t="str">
            <v>64317308</v>
          </cell>
          <cell r="C98">
            <v>0</v>
          </cell>
        </row>
        <row r="99">
          <cell r="A99" t="str">
            <v>64317330</v>
          </cell>
          <cell r="C99">
            <v>0</v>
          </cell>
        </row>
        <row r="100">
          <cell r="A100" t="str">
            <v>64807107</v>
          </cell>
          <cell r="C100">
            <v>223</v>
          </cell>
        </row>
        <row r="101">
          <cell r="A101" t="str">
            <v>64819114</v>
          </cell>
          <cell r="C101">
            <v>91</v>
          </cell>
        </row>
        <row r="102">
          <cell r="A102" t="str">
            <v>64864641</v>
          </cell>
          <cell r="C102">
            <v>90</v>
          </cell>
        </row>
        <row r="103">
          <cell r="A103" t="str">
            <v>64943267</v>
          </cell>
          <cell r="C103">
            <v>270</v>
          </cell>
        </row>
        <row r="104">
          <cell r="A104" t="str">
            <v>65436912</v>
          </cell>
          <cell r="C104">
            <v>490</v>
          </cell>
        </row>
        <row r="105">
          <cell r="A105" t="str">
            <v>65436915</v>
          </cell>
          <cell r="C105">
            <v>0</v>
          </cell>
        </row>
        <row r="106">
          <cell r="A106" t="str">
            <v>65640765</v>
          </cell>
          <cell r="C106">
            <v>273</v>
          </cell>
        </row>
        <row r="107">
          <cell r="A107" t="str">
            <v>67408505</v>
          </cell>
          <cell r="C107">
            <v>0</v>
          </cell>
        </row>
        <row r="108">
          <cell r="A108" t="str">
            <v>67409040</v>
          </cell>
          <cell r="C108">
            <v>0</v>
          </cell>
        </row>
        <row r="109">
          <cell r="A109" t="str">
            <v>67808255</v>
          </cell>
          <cell r="C109">
            <v>0</v>
          </cell>
        </row>
        <row r="110">
          <cell r="A110" t="str">
            <v>67808257</v>
          </cell>
          <cell r="C110">
            <v>0</v>
          </cell>
        </row>
        <row r="111">
          <cell r="A111" t="str">
            <v>67808261</v>
          </cell>
          <cell r="C111">
            <v>0</v>
          </cell>
        </row>
        <row r="112">
          <cell r="A112" t="str">
            <v>67808266</v>
          </cell>
          <cell r="C112">
            <v>0</v>
          </cell>
        </row>
        <row r="113">
          <cell r="A113" t="str">
            <v>68282462</v>
          </cell>
          <cell r="C113">
            <v>0</v>
          </cell>
        </row>
        <row r="114">
          <cell r="A114" t="str">
            <v>69654193</v>
          </cell>
          <cell r="C114">
            <v>276</v>
          </cell>
        </row>
        <row r="115">
          <cell r="A115" t="str">
            <v>69654198</v>
          </cell>
          <cell r="C115">
            <v>0</v>
          </cell>
        </row>
        <row r="116">
          <cell r="A116" t="str">
            <v>69654208</v>
          </cell>
          <cell r="C116">
            <v>160</v>
          </cell>
        </row>
        <row r="117">
          <cell r="A117" t="str">
            <v>69655756</v>
          </cell>
          <cell r="C117">
            <v>0</v>
          </cell>
        </row>
        <row r="118">
          <cell r="A118" t="str">
            <v>67131714</v>
          </cell>
          <cell r="C118">
            <v>0</v>
          </cell>
        </row>
        <row r="119">
          <cell r="A119" t="str">
            <v>67131718</v>
          </cell>
          <cell r="C119">
            <v>0</v>
          </cell>
        </row>
        <row r="120">
          <cell r="A120" t="str">
            <v>67131720</v>
          </cell>
          <cell r="C120">
            <v>0</v>
          </cell>
        </row>
        <row r="121">
          <cell r="A121" t="str">
            <v>62768303</v>
          </cell>
          <cell r="C121">
            <v>95</v>
          </cell>
        </row>
        <row r="122">
          <cell r="A122" t="str">
            <v>21128438</v>
          </cell>
          <cell r="C122">
            <v>0</v>
          </cell>
        </row>
        <row r="123">
          <cell r="A123" t="str">
            <v>21128439</v>
          </cell>
          <cell r="C123">
            <v>0</v>
          </cell>
        </row>
        <row r="124">
          <cell r="A124" t="str">
            <v>21127186</v>
          </cell>
          <cell r="C124">
            <v>0</v>
          </cell>
        </row>
        <row r="125">
          <cell r="A125" t="str">
            <v>21160649</v>
          </cell>
          <cell r="C125">
            <v>0</v>
          </cell>
        </row>
        <row r="126">
          <cell r="A126" t="str">
            <v>32049112</v>
          </cell>
          <cell r="C126">
            <v>0</v>
          </cell>
        </row>
        <row r="127">
          <cell r="A127" t="str">
            <v>32049113</v>
          </cell>
          <cell r="C127">
            <v>0</v>
          </cell>
        </row>
        <row r="128">
          <cell r="A128" t="str">
            <v>34087096</v>
          </cell>
          <cell r="C128">
            <v>0</v>
          </cell>
        </row>
        <row r="129">
          <cell r="A129" t="str">
            <v>62718561</v>
          </cell>
          <cell r="C129">
            <v>0</v>
          </cell>
        </row>
        <row r="130">
          <cell r="A130" t="str">
            <v>62729974</v>
          </cell>
          <cell r="C130">
            <v>231</v>
          </cell>
        </row>
        <row r="131">
          <cell r="A131" t="str">
            <v>62729982</v>
          </cell>
          <cell r="C131">
            <v>0</v>
          </cell>
        </row>
        <row r="132">
          <cell r="A132" t="str">
            <v>62768295</v>
          </cell>
          <cell r="C132">
            <v>19</v>
          </cell>
        </row>
        <row r="133">
          <cell r="A133" t="str">
            <v>64766304</v>
          </cell>
          <cell r="C133">
            <v>0</v>
          </cell>
        </row>
        <row r="134">
          <cell r="A134" t="str">
            <v>64766308</v>
          </cell>
          <cell r="C134">
            <v>0</v>
          </cell>
        </row>
        <row r="135">
          <cell r="A135" t="str">
            <v>64817465</v>
          </cell>
          <cell r="C135">
            <v>11</v>
          </cell>
        </row>
        <row r="136">
          <cell r="A136" t="str">
            <v>64925742</v>
          </cell>
          <cell r="C136">
            <v>20</v>
          </cell>
        </row>
        <row r="137">
          <cell r="A137" t="str">
            <v>65225883</v>
          </cell>
          <cell r="C137">
            <v>2</v>
          </cell>
        </row>
        <row r="138">
          <cell r="A138" t="str">
            <v>65225884</v>
          </cell>
          <cell r="C138">
            <v>230</v>
          </cell>
        </row>
        <row r="139">
          <cell r="A139" t="str">
            <v>65439627</v>
          </cell>
          <cell r="C139">
            <v>370</v>
          </cell>
        </row>
        <row r="140">
          <cell r="A140" t="str">
            <v>65640762</v>
          </cell>
          <cell r="C140">
            <v>627</v>
          </cell>
        </row>
        <row r="141">
          <cell r="A141" t="str">
            <v>65762767</v>
          </cell>
          <cell r="C141">
            <v>20</v>
          </cell>
        </row>
        <row r="142">
          <cell r="A142" t="str">
            <v>67409312</v>
          </cell>
          <cell r="C142">
            <v>0</v>
          </cell>
        </row>
        <row r="143">
          <cell r="A143" t="str">
            <v>67409528</v>
          </cell>
          <cell r="C143">
            <v>0</v>
          </cell>
        </row>
        <row r="144">
          <cell r="A144" t="str">
            <v>67488626</v>
          </cell>
          <cell r="C144">
            <v>0</v>
          </cell>
        </row>
        <row r="145">
          <cell r="A145" t="str">
            <v>67488629</v>
          </cell>
          <cell r="C145">
            <v>0</v>
          </cell>
        </row>
        <row r="146">
          <cell r="A146" t="str">
            <v>67988951</v>
          </cell>
          <cell r="C146">
            <v>0</v>
          </cell>
        </row>
        <row r="147">
          <cell r="A147" t="str">
            <v>68275727</v>
          </cell>
          <cell r="C147">
            <v>123</v>
          </cell>
        </row>
        <row r="148">
          <cell r="A148" t="str">
            <v>68353982</v>
          </cell>
          <cell r="C148">
            <v>0</v>
          </cell>
        </row>
        <row r="149">
          <cell r="A149" t="str">
            <v>68359397</v>
          </cell>
          <cell r="C149">
            <v>0</v>
          </cell>
        </row>
        <row r="150">
          <cell r="A150" t="str">
            <v>68513506</v>
          </cell>
          <cell r="C150">
            <v>0</v>
          </cell>
        </row>
        <row r="151">
          <cell r="A151" t="str">
            <v>68652189</v>
          </cell>
          <cell r="C151">
            <v>0</v>
          </cell>
        </row>
        <row r="152">
          <cell r="A152" t="str">
            <v>68730686</v>
          </cell>
          <cell r="C152">
            <v>0</v>
          </cell>
        </row>
        <row r="153">
          <cell r="A153" t="str">
            <v>68771084</v>
          </cell>
          <cell r="C153">
            <v>0</v>
          </cell>
        </row>
        <row r="154">
          <cell r="A154" t="str">
            <v>68792000</v>
          </cell>
          <cell r="C154">
            <v>0</v>
          </cell>
        </row>
        <row r="155">
          <cell r="A155" t="str">
            <v>68820372</v>
          </cell>
          <cell r="C155">
            <v>0</v>
          </cell>
        </row>
        <row r="156">
          <cell r="A156" t="str">
            <v>69603942</v>
          </cell>
          <cell r="C156">
            <v>0</v>
          </cell>
        </row>
        <row r="157">
          <cell r="A157" t="str">
            <v>69654190</v>
          </cell>
          <cell r="C157">
            <v>0</v>
          </cell>
        </row>
        <row r="158">
          <cell r="A158" t="str">
            <v>69654221</v>
          </cell>
          <cell r="C158">
            <v>0</v>
          </cell>
        </row>
        <row r="159">
          <cell r="A159" t="str">
            <v>69655761</v>
          </cell>
          <cell r="C159">
            <v>0</v>
          </cell>
        </row>
        <row r="160">
          <cell r="A160" t="str">
            <v>69775177</v>
          </cell>
          <cell r="C160">
            <v>0</v>
          </cell>
        </row>
        <row r="161">
          <cell r="A161" t="str">
            <v>69775197</v>
          </cell>
          <cell r="C161">
            <v>0</v>
          </cell>
        </row>
        <row r="162">
          <cell r="A162" t="str">
            <v>69790460</v>
          </cell>
          <cell r="C162">
            <v>550</v>
          </cell>
        </row>
        <row r="163">
          <cell r="A163" t="str">
            <v>69790471</v>
          </cell>
          <cell r="C163">
            <v>45</v>
          </cell>
        </row>
        <row r="164">
          <cell r="A164" t="str">
            <v>67246036</v>
          </cell>
          <cell r="C164">
            <v>0</v>
          </cell>
        </row>
        <row r="165">
          <cell r="A165" t="str">
            <v>67246038</v>
          </cell>
          <cell r="C165">
            <v>0</v>
          </cell>
        </row>
        <row r="166">
          <cell r="A166" t="str">
            <v>65623826</v>
          </cell>
          <cell r="C166">
            <v>23</v>
          </cell>
        </row>
        <row r="167">
          <cell r="A167" t="str">
            <v>65623832</v>
          </cell>
          <cell r="C167">
            <v>69</v>
          </cell>
        </row>
        <row r="168">
          <cell r="A168" t="str">
            <v>69972153</v>
          </cell>
          <cell r="C168">
            <v>0</v>
          </cell>
        </row>
        <row r="169">
          <cell r="A169" t="str">
            <v>69972162</v>
          </cell>
          <cell r="C169">
            <v>0</v>
          </cell>
        </row>
        <row r="170">
          <cell r="A170" t="str">
            <v>69639541</v>
          </cell>
          <cell r="C170">
            <v>0</v>
          </cell>
        </row>
        <row r="171">
          <cell r="A171" t="str">
            <v>65623820</v>
          </cell>
          <cell r="C171">
            <v>32</v>
          </cell>
        </row>
        <row r="172">
          <cell r="A172" t="str">
            <v>69972130</v>
          </cell>
          <cell r="C172">
            <v>41</v>
          </cell>
        </row>
        <row r="173">
          <cell r="A173" t="str">
            <v>69975975</v>
          </cell>
          <cell r="C173">
            <v>60</v>
          </cell>
        </row>
        <row r="174">
          <cell r="A174" t="str">
            <v>68410395</v>
          </cell>
          <cell r="C174">
            <v>0</v>
          </cell>
        </row>
        <row r="175">
          <cell r="A175" t="str">
            <v>67319333</v>
          </cell>
          <cell r="C175">
            <v>0</v>
          </cell>
        </row>
        <row r="176">
          <cell r="A176" t="str">
            <v>67319337</v>
          </cell>
          <cell r="C176">
            <v>0</v>
          </cell>
        </row>
        <row r="177">
          <cell r="A177" t="str">
            <v>67600382</v>
          </cell>
          <cell r="C177">
            <v>0</v>
          </cell>
        </row>
        <row r="178">
          <cell r="A178" t="str">
            <v>67600384</v>
          </cell>
          <cell r="C178">
            <v>0</v>
          </cell>
        </row>
        <row r="179">
          <cell r="A179" t="str">
            <v>21111332</v>
          </cell>
          <cell r="C179">
            <v>0</v>
          </cell>
        </row>
        <row r="180">
          <cell r="A180" t="str">
            <v>21111335</v>
          </cell>
          <cell r="C180">
            <v>0</v>
          </cell>
        </row>
        <row r="181">
          <cell r="A181" t="str">
            <v>21111338</v>
          </cell>
          <cell r="C181">
            <v>0</v>
          </cell>
        </row>
        <row r="182">
          <cell r="A182" t="str">
            <v>32442172</v>
          </cell>
          <cell r="C182">
            <v>0</v>
          </cell>
        </row>
        <row r="183">
          <cell r="A183" t="str">
            <v>32442175</v>
          </cell>
          <cell r="C183">
            <v>0</v>
          </cell>
        </row>
        <row r="184">
          <cell r="A184" t="str">
            <v>32442176</v>
          </cell>
          <cell r="C184">
            <v>0</v>
          </cell>
        </row>
        <row r="185">
          <cell r="A185" t="str">
            <v>67371867</v>
          </cell>
          <cell r="C185">
            <v>0</v>
          </cell>
        </row>
        <row r="186">
          <cell r="A186" t="str">
            <v>67379792</v>
          </cell>
          <cell r="C186">
            <v>0</v>
          </cell>
        </row>
        <row r="187">
          <cell r="A187" t="str">
            <v>67666242</v>
          </cell>
          <cell r="C187">
            <v>0</v>
          </cell>
        </row>
        <row r="188">
          <cell r="A188" t="str">
            <v>68142401</v>
          </cell>
          <cell r="C188">
            <v>0</v>
          </cell>
        </row>
        <row r="189">
          <cell r="A189" t="str">
            <v>68479921</v>
          </cell>
          <cell r="C189">
            <v>0</v>
          </cell>
        </row>
        <row r="190">
          <cell r="A190" t="str">
            <v>68481539</v>
          </cell>
          <cell r="C190">
            <v>0</v>
          </cell>
        </row>
        <row r="191">
          <cell r="A191" t="str">
            <v>68665432</v>
          </cell>
          <cell r="C191">
            <v>0</v>
          </cell>
        </row>
        <row r="192">
          <cell r="A192" t="str">
            <v>21087111</v>
          </cell>
          <cell r="C192">
            <v>8</v>
          </cell>
        </row>
        <row r="193">
          <cell r="A193" t="str">
            <v>21087112</v>
          </cell>
          <cell r="C193">
            <v>5</v>
          </cell>
        </row>
        <row r="194">
          <cell r="A194" t="str">
            <v>21087113</v>
          </cell>
          <cell r="C194">
            <v>6</v>
          </cell>
        </row>
        <row r="195">
          <cell r="A195" t="str">
            <v>32050303</v>
          </cell>
          <cell r="C195">
            <v>0</v>
          </cell>
        </row>
        <row r="196">
          <cell r="A196" t="str">
            <v>32050304</v>
          </cell>
          <cell r="C196">
            <v>39</v>
          </cell>
        </row>
        <row r="197">
          <cell r="A197" t="str">
            <v>32050305</v>
          </cell>
          <cell r="C197">
            <v>0</v>
          </cell>
        </row>
        <row r="198">
          <cell r="A198" t="str">
            <v>65595235</v>
          </cell>
          <cell r="C198">
            <v>10</v>
          </cell>
        </row>
        <row r="199">
          <cell r="A199" t="str">
            <v>69983845</v>
          </cell>
          <cell r="C199">
            <v>17</v>
          </cell>
        </row>
        <row r="200">
          <cell r="A200" t="str">
            <v>32797226</v>
          </cell>
          <cell r="C200">
            <v>0</v>
          </cell>
        </row>
        <row r="201">
          <cell r="A201" t="str">
            <v>32797227</v>
          </cell>
          <cell r="C201">
            <v>0</v>
          </cell>
        </row>
        <row r="202">
          <cell r="A202" t="str">
            <v>32797228</v>
          </cell>
          <cell r="C202">
            <v>0</v>
          </cell>
        </row>
        <row r="203">
          <cell r="A203" t="str">
            <v>20268731</v>
          </cell>
          <cell r="C203">
            <v>1</v>
          </cell>
        </row>
        <row r="204">
          <cell r="A204" t="str">
            <v>21101086</v>
          </cell>
          <cell r="C204">
            <v>0</v>
          </cell>
        </row>
        <row r="205">
          <cell r="A205" t="str">
            <v>32005772</v>
          </cell>
          <cell r="C205">
            <v>0</v>
          </cell>
        </row>
        <row r="206">
          <cell r="A206" t="str">
            <v>32801780</v>
          </cell>
          <cell r="C206">
            <v>0</v>
          </cell>
        </row>
        <row r="207">
          <cell r="A207" t="str">
            <v>32801781</v>
          </cell>
          <cell r="C207">
            <v>0</v>
          </cell>
        </row>
        <row r="208">
          <cell r="A208" t="str">
            <v>67469182</v>
          </cell>
          <cell r="C208">
            <v>0</v>
          </cell>
        </row>
        <row r="209">
          <cell r="A209" t="str">
            <v>67931572</v>
          </cell>
          <cell r="C209">
            <v>0</v>
          </cell>
        </row>
        <row r="210">
          <cell r="A210" t="str">
            <v>67931574</v>
          </cell>
          <cell r="C210">
            <v>0</v>
          </cell>
        </row>
        <row r="211">
          <cell r="A211" t="str">
            <v>68588302</v>
          </cell>
          <cell r="C211">
            <v>0</v>
          </cell>
        </row>
        <row r="212">
          <cell r="A212" t="str">
            <v>68588307</v>
          </cell>
          <cell r="C212">
            <v>0</v>
          </cell>
        </row>
        <row r="213">
          <cell r="A213" t="str">
            <v>67796828</v>
          </cell>
          <cell r="C213">
            <v>0</v>
          </cell>
        </row>
        <row r="214">
          <cell r="A214" t="str">
            <v>67796830</v>
          </cell>
          <cell r="C214">
            <v>0</v>
          </cell>
        </row>
        <row r="215">
          <cell r="A215" t="str">
            <v>68176266</v>
          </cell>
          <cell r="C215">
            <v>0</v>
          </cell>
        </row>
        <row r="216">
          <cell r="A216" t="str">
            <v>68176268</v>
          </cell>
          <cell r="C216">
            <v>0</v>
          </cell>
        </row>
        <row r="217">
          <cell r="A217" t="str">
            <v>34087063</v>
          </cell>
          <cell r="C217">
            <v>0</v>
          </cell>
        </row>
        <row r="218">
          <cell r="A218" t="str">
            <v>34087069</v>
          </cell>
          <cell r="C218">
            <v>0</v>
          </cell>
        </row>
        <row r="219">
          <cell r="A219" t="str">
            <v>34087070</v>
          </cell>
          <cell r="C219">
            <v>0</v>
          </cell>
        </row>
        <row r="220">
          <cell r="A220" t="str">
            <v>34087071</v>
          </cell>
          <cell r="C220">
            <v>0</v>
          </cell>
        </row>
        <row r="221">
          <cell r="A221" t="str">
            <v>34090275</v>
          </cell>
          <cell r="C221">
            <v>0</v>
          </cell>
        </row>
        <row r="222">
          <cell r="A222" t="str">
            <v>34090536</v>
          </cell>
          <cell r="C222">
            <v>0</v>
          </cell>
        </row>
        <row r="223">
          <cell r="A223" t="str">
            <v>67141693</v>
          </cell>
          <cell r="C223">
            <v>0</v>
          </cell>
        </row>
        <row r="224">
          <cell r="A224" t="str">
            <v>67141695</v>
          </cell>
          <cell r="C224">
            <v>0</v>
          </cell>
        </row>
        <row r="225">
          <cell r="A225" t="str">
            <v>67379653</v>
          </cell>
          <cell r="C225">
            <v>0</v>
          </cell>
        </row>
        <row r="226">
          <cell r="A226" t="str">
            <v>67379659</v>
          </cell>
          <cell r="C226">
            <v>0</v>
          </cell>
        </row>
        <row r="227">
          <cell r="A227" t="str">
            <v>67430038</v>
          </cell>
          <cell r="C227">
            <v>0</v>
          </cell>
        </row>
        <row r="228">
          <cell r="A228" t="str">
            <v>67469178</v>
          </cell>
          <cell r="C228">
            <v>0</v>
          </cell>
        </row>
        <row r="229">
          <cell r="A229" t="str">
            <v>67469180</v>
          </cell>
          <cell r="C229">
            <v>0</v>
          </cell>
        </row>
        <row r="230">
          <cell r="A230" t="str">
            <v>67607198</v>
          </cell>
          <cell r="C230">
            <v>0</v>
          </cell>
        </row>
        <row r="231">
          <cell r="A231" t="str">
            <v>67612566</v>
          </cell>
          <cell r="C231">
            <v>0</v>
          </cell>
        </row>
        <row r="232">
          <cell r="A232" t="str">
            <v>67612572</v>
          </cell>
          <cell r="C232">
            <v>0</v>
          </cell>
        </row>
        <row r="233">
          <cell r="A233" t="str">
            <v>67683790</v>
          </cell>
          <cell r="C233">
            <v>0</v>
          </cell>
        </row>
        <row r="234">
          <cell r="A234" t="str">
            <v>67683792</v>
          </cell>
          <cell r="C234">
            <v>0</v>
          </cell>
        </row>
        <row r="235">
          <cell r="A235" t="str">
            <v>67683795</v>
          </cell>
          <cell r="C235">
            <v>0</v>
          </cell>
        </row>
        <row r="236">
          <cell r="A236" t="str">
            <v>67683815</v>
          </cell>
          <cell r="C236">
            <v>0</v>
          </cell>
        </row>
        <row r="237">
          <cell r="A237" t="str">
            <v>67683827</v>
          </cell>
          <cell r="C237">
            <v>0</v>
          </cell>
        </row>
        <row r="238">
          <cell r="A238" t="str">
            <v>68476789</v>
          </cell>
          <cell r="C238">
            <v>0</v>
          </cell>
        </row>
        <row r="239">
          <cell r="A239" t="str">
            <v>68476791</v>
          </cell>
          <cell r="C239">
            <v>0</v>
          </cell>
        </row>
        <row r="240">
          <cell r="A240" t="str">
            <v>68678595</v>
          </cell>
          <cell r="C240">
            <v>0</v>
          </cell>
        </row>
        <row r="241">
          <cell r="A241" t="str">
            <v>68896579</v>
          </cell>
          <cell r="C241">
            <v>0</v>
          </cell>
        </row>
        <row r="242">
          <cell r="A242" t="str">
            <v>69604453</v>
          </cell>
          <cell r="C242">
            <v>0</v>
          </cell>
        </row>
        <row r="243">
          <cell r="A243" t="str">
            <v>69604458</v>
          </cell>
          <cell r="C243">
            <v>0</v>
          </cell>
        </row>
        <row r="244">
          <cell r="A244" t="str">
            <v>69656195</v>
          </cell>
          <cell r="C244">
            <v>0</v>
          </cell>
        </row>
        <row r="245">
          <cell r="A245" t="str">
            <v>69656197</v>
          </cell>
          <cell r="C245">
            <v>0</v>
          </cell>
        </row>
        <row r="246">
          <cell r="A246" t="str">
            <v>69711746</v>
          </cell>
          <cell r="C246">
            <v>0</v>
          </cell>
        </row>
        <row r="247">
          <cell r="A247" t="str">
            <v>69711757</v>
          </cell>
          <cell r="C247">
            <v>0</v>
          </cell>
        </row>
        <row r="248">
          <cell r="A248" t="str">
            <v>69724174</v>
          </cell>
          <cell r="C248">
            <v>0</v>
          </cell>
        </row>
        <row r="249">
          <cell r="A249" t="str">
            <v>67288970</v>
          </cell>
          <cell r="C249">
            <v>0</v>
          </cell>
        </row>
        <row r="250">
          <cell r="A250" t="str">
            <v>67288972</v>
          </cell>
          <cell r="C250">
            <v>0</v>
          </cell>
        </row>
        <row r="251">
          <cell r="A251" t="str">
            <v>67355258</v>
          </cell>
          <cell r="C251">
            <v>0</v>
          </cell>
        </row>
        <row r="252">
          <cell r="A252" t="str">
            <v>67510734</v>
          </cell>
          <cell r="C252">
            <v>0</v>
          </cell>
        </row>
        <row r="253">
          <cell r="A253" t="str">
            <v>67847394</v>
          </cell>
          <cell r="C253">
            <v>0</v>
          </cell>
        </row>
        <row r="254">
          <cell r="A254" t="str">
            <v>67847400</v>
          </cell>
          <cell r="C254">
            <v>0</v>
          </cell>
        </row>
        <row r="255">
          <cell r="A255" t="str">
            <v>67847407</v>
          </cell>
          <cell r="C255">
            <v>0</v>
          </cell>
        </row>
        <row r="256">
          <cell r="A256" t="str">
            <v>67847413</v>
          </cell>
          <cell r="C256">
            <v>0</v>
          </cell>
        </row>
        <row r="257">
          <cell r="A257" t="str">
            <v>67998452</v>
          </cell>
          <cell r="C257">
            <v>0</v>
          </cell>
        </row>
        <row r="258">
          <cell r="A258" t="str">
            <v>67998469</v>
          </cell>
          <cell r="C258">
            <v>0</v>
          </cell>
        </row>
        <row r="259">
          <cell r="A259" t="str">
            <v>67998473</v>
          </cell>
          <cell r="C259">
            <v>0</v>
          </cell>
        </row>
        <row r="260">
          <cell r="A260" t="str">
            <v>67998478</v>
          </cell>
          <cell r="C260">
            <v>0</v>
          </cell>
        </row>
        <row r="261">
          <cell r="A261" t="str">
            <v>20204888</v>
          </cell>
          <cell r="C261">
            <v>26</v>
          </cell>
        </row>
        <row r="262">
          <cell r="A262" t="str">
            <v>21087115</v>
          </cell>
          <cell r="C262">
            <v>19</v>
          </cell>
        </row>
        <row r="263">
          <cell r="A263" t="str">
            <v>21091294</v>
          </cell>
          <cell r="C263">
            <v>0</v>
          </cell>
        </row>
        <row r="264">
          <cell r="A264" t="str">
            <v>64997464</v>
          </cell>
          <cell r="C264">
            <v>0</v>
          </cell>
        </row>
        <row r="265">
          <cell r="A265" t="str">
            <v>65454443</v>
          </cell>
          <cell r="C265">
            <v>66</v>
          </cell>
        </row>
        <row r="266">
          <cell r="A266" t="str">
            <v>65454451</v>
          </cell>
          <cell r="C266">
            <v>73</v>
          </cell>
        </row>
        <row r="267">
          <cell r="A267" t="str">
            <v>65596179</v>
          </cell>
          <cell r="C267">
            <v>0</v>
          </cell>
        </row>
        <row r="268">
          <cell r="A268" t="str">
            <v>65596186</v>
          </cell>
          <cell r="C268">
            <v>8</v>
          </cell>
        </row>
        <row r="269">
          <cell r="A269" t="str">
            <v>69983850</v>
          </cell>
          <cell r="C269">
            <v>100</v>
          </cell>
        </row>
        <row r="270">
          <cell r="A270" t="str">
            <v>32797216</v>
          </cell>
          <cell r="C270">
            <v>0</v>
          </cell>
        </row>
        <row r="271">
          <cell r="A271" t="str">
            <v>32797229</v>
          </cell>
          <cell r="C271">
            <v>0</v>
          </cell>
        </row>
        <row r="272">
          <cell r="A272" t="str">
            <v>32797230</v>
          </cell>
          <cell r="C272">
            <v>77</v>
          </cell>
        </row>
        <row r="273">
          <cell r="A273" t="str">
            <v>64997466</v>
          </cell>
          <cell r="C273">
            <v>2</v>
          </cell>
        </row>
        <row r="274">
          <cell r="A274" t="str">
            <v>67363277</v>
          </cell>
          <cell r="C274">
            <v>0</v>
          </cell>
        </row>
        <row r="275">
          <cell r="A275" t="str">
            <v>67363281</v>
          </cell>
          <cell r="C275">
            <v>0</v>
          </cell>
        </row>
        <row r="276">
          <cell r="A276" t="str">
            <v>67363284</v>
          </cell>
          <cell r="C276">
            <v>23</v>
          </cell>
        </row>
        <row r="277">
          <cell r="A277" t="str">
            <v>68750699</v>
          </cell>
          <cell r="C277">
            <v>0</v>
          </cell>
        </row>
        <row r="278">
          <cell r="A278" t="str">
            <v/>
          </cell>
          <cell r="C278" t="str">
            <v>Grand 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0FED-517C-4DF5-B867-308EDC092186}">
  <sheetPr>
    <tabColor rgb="FFFFC000"/>
  </sheetPr>
  <dimension ref="B1:L60"/>
  <sheetViews>
    <sheetView showGridLines="0" workbookViewId="0">
      <pane ySplit="4" topLeftCell="A50" activePane="bottomLeft" state="frozen"/>
      <selection pane="bottomLeft" activeCell="E64" sqref="E64"/>
    </sheetView>
  </sheetViews>
  <sheetFormatPr defaultRowHeight="15" x14ac:dyDescent="0.2"/>
  <cols>
    <col min="3" max="3" width="9.55078125" bestFit="1" customWidth="1"/>
    <col min="5" max="5" width="43.44921875" bestFit="1" customWidth="1"/>
    <col min="7" max="7" width="11.56640625" customWidth="1"/>
    <col min="8" max="8" width="11.703125" customWidth="1"/>
    <col min="9" max="9" width="20.984375" customWidth="1"/>
    <col min="10" max="10" width="14.125" customWidth="1"/>
    <col min="12" max="12" width="18.4296875" customWidth="1"/>
  </cols>
  <sheetData>
    <row r="1" spans="2:12" x14ac:dyDescent="0.2">
      <c r="B1" s="1"/>
      <c r="C1" s="1"/>
    </row>
    <row r="3" spans="2:12" ht="15.75" thickBot="1" x14ac:dyDescent="0.25">
      <c r="C3" s="2">
        <v>46283</v>
      </c>
    </row>
    <row r="4" spans="2:12" x14ac:dyDescent="0.2">
      <c r="D4" s="3" t="s">
        <v>0</v>
      </c>
      <c r="E4" s="4" t="s">
        <v>1</v>
      </c>
      <c r="F4" s="4" t="s">
        <v>2</v>
      </c>
      <c r="G4" s="5" t="s">
        <v>3</v>
      </c>
      <c r="H4" s="6" t="s">
        <v>4</v>
      </c>
      <c r="I4" s="7" t="s">
        <v>5</v>
      </c>
      <c r="J4" s="8" t="s">
        <v>6</v>
      </c>
      <c r="K4" s="4" t="s">
        <v>7</v>
      </c>
      <c r="L4" s="9" t="s">
        <v>8</v>
      </c>
    </row>
    <row r="5" spans="2:12" x14ac:dyDescent="0.2">
      <c r="D5" s="10" t="s">
        <v>9</v>
      </c>
      <c r="E5" s="11" t="s">
        <v>10</v>
      </c>
      <c r="F5" s="11">
        <v>41365</v>
      </c>
      <c r="G5" s="12">
        <v>140</v>
      </c>
      <c r="H5" s="12">
        <v>118</v>
      </c>
      <c r="I5" s="13">
        <f>G5-H5</f>
        <v>22</v>
      </c>
      <c r="J5" s="14"/>
      <c r="K5" s="11"/>
      <c r="L5" s="15"/>
    </row>
    <row r="6" spans="2:12" x14ac:dyDescent="0.2">
      <c r="D6" s="16" t="s">
        <v>11</v>
      </c>
      <c r="E6" s="17" t="s">
        <v>12</v>
      </c>
      <c r="F6" s="17">
        <v>41366</v>
      </c>
      <c r="G6" s="17">
        <v>1</v>
      </c>
      <c r="H6" s="17">
        <v>0</v>
      </c>
      <c r="I6" s="13">
        <f t="shared" ref="I6:I58" si="0">G6-H6</f>
        <v>1</v>
      </c>
      <c r="J6" s="14"/>
      <c r="K6" s="18">
        <f t="shared" ref="K6:K58" si="1">IF(G6&gt;H6,G6-H6,IF(H6&gt;G6,"sell" &amp; H6-G6, "bal"))</f>
        <v>1</v>
      </c>
      <c r="L6" s="19">
        <f t="shared" ref="L6:L58" si="2">IF(G6&gt;H6,(G6-H6)*F6,0)</f>
        <v>41366</v>
      </c>
    </row>
    <row r="7" spans="2:12" x14ac:dyDescent="0.2">
      <c r="D7" s="16" t="s">
        <v>13</v>
      </c>
      <c r="E7" s="17" t="s">
        <v>14</v>
      </c>
      <c r="F7" s="17">
        <v>27941</v>
      </c>
      <c r="G7" s="17">
        <v>89</v>
      </c>
      <c r="H7" s="17">
        <v>41</v>
      </c>
      <c r="I7" s="13">
        <f t="shared" si="0"/>
        <v>48</v>
      </c>
      <c r="J7" s="14"/>
      <c r="K7" s="18">
        <f t="shared" si="1"/>
        <v>48</v>
      </c>
      <c r="L7" s="19">
        <f t="shared" si="2"/>
        <v>1341168</v>
      </c>
    </row>
    <row r="8" spans="2:12" x14ac:dyDescent="0.2">
      <c r="D8" s="16" t="s">
        <v>15</v>
      </c>
      <c r="E8" s="17" t="s">
        <v>16</v>
      </c>
      <c r="F8" s="17">
        <v>27941.4</v>
      </c>
      <c r="G8" s="17">
        <v>30</v>
      </c>
      <c r="H8" s="17">
        <v>15</v>
      </c>
      <c r="I8" s="13">
        <f t="shared" si="0"/>
        <v>15</v>
      </c>
      <c r="J8" s="14"/>
      <c r="K8" s="18">
        <f t="shared" si="1"/>
        <v>15</v>
      </c>
      <c r="L8" s="19">
        <f t="shared" si="2"/>
        <v>419121</v>
      </c>
    </row>
    <row r="9" spans="2:12" x14ac:dyDescent="0.2">
      <c r="D9" s="16" t="s">
        <v>17</v>
      </c>
      <c r="E9" s="17" t="s">
        <v>18</v>
      </c>
      <c r="F9" s="17">
        <v>50875.02</v>
      </c>
      <c r="G9" s="17">
        <v>610</v>
      </c>
      <c r="H9" s="17">
        <v>343</v>
      </c>
      <c r="I9" s="13">
        <f t="shared" si="0"/>
        <v>267</v>
      </c>
      <c r="J9" s="14"/>
      <c r="K9" s="18">
        <f t="shared" si="1"/>
        <v>267</v>
      </c>
      <c r="L9" s="20">
        <f t="shared" si="2"/>
        <v>13583630.34</v>
      </c>
    </row>
    <row r="10" spans="2:12" x14ac:dyDescent="0.2">
      <c r="D10" s="16" t="s">
        <v>19</v>
      </c>
      <c r="E10" s="17" t="s">
        <v>20</v>
      </c>
      <c r="F10" s="17">
        <v>40132</v>
      </c>
      <c r="G10" s="17">
        <v>3</v>
      </c>
      <c r="H10" s="17">
        <v>0</v>
      </c>
      <c r="I10" s="13">
        <f t="shared" si="0"/>
        <v>3</v>
      </c>
      <c r="J10" s="14"/>
      <c r="K10" s="18">
        <f t="shared" si="1"/>
        <v>3</v>
      </c>
      <c r="L10" s="19">
        <f t="shared" si="2"/>
        <v>120396</v>
      </c>
    </row>
    <row r="11" spans="2:12" x14ac:dyDescent="0.2">
      <c r="D11" s="16" t="s">
        <v>21</v>
      </c>
      <c r="E11" s="17" t="s">
        <v>22</v>
      </c>
      <c r="F11" s="17">
        <v>50875.02</v>
      </c>
      <c r="G11" s="17">
        <v>376</v>
      </c>
      <c r="H11" s="17">
        <v>271</v>
      </c>
      <c r="I11" s="13">
        <f t="shared" si="0"/>
        <v>105</v>
      </c>
      <c r="J11" s="14"/>
      <c r="K11" s="18">
        <f t="shared" si="1"/>
        <v>105</v>
      </c>
      <c r="L11" s="19">
        <f t="shared" si="2"/>
        <v>5341877.0999999996</v>
      </c>
    </row>
    <row r="12" spans="2:12" x14ac:dyDescent="0.2">
      <c r="D12" s="16" t="s">
        <v>23</v>
      </c>
      <c r="E12" s="17" t="s">
        <v>24</v>
      </c>
      <c r="F12" s="17">
        <v>50875.02</v>
      </c>
      <c r="G12" s="17">
        <v>33</v>
      </c>
      <c r="H12" s="17">
        <v>32</v>
      </c>
      <c r="I12" s="13">
        <f t="shared" si="0"/>
        <v>1</v>
      </c>
      <c r="J12" s="14"/>
      <c r="K12" s="18"/>
      <c r="L12" s="19">
        <f t="shared" si="2"/>
        <v>50875.02</v>
      </c>
    </row>
    <row r="13" spans="2:12" x14ac:dyDescent="0.2">
      <c r="D13" s="16" t="s">
        <v>25</v>
      </c>
      <c r="E13" s="17" t="s">
        <v>26</v>
      </c>
      <c r="F13" s="17">
        <v>14402.635</v>
      </c>
      <c r="G13" s="17">
        <v>2808</v>
      </c>
      <c r="H13" s="17">
        <v>2687</v>
      </c>
      <c r="I13" s="13">
        <f t="shared" si="0"/>
        <v>121</v>
      </c>
      <c r="J13" s="14"/>
      <c r="K13" s="18">
        <f t="shared" si="1"/>
        <v>121</v>
      </c>
      <c r="L13" s="19">
        <f t="shared" si="2"/>
        <v>1742718.835</v>
      </c>
    </row>
    <row r="14" spans="2:12" x14ac:dyDescent="0.2">
      <c r="D14" s="16" t="s">
        <v>27</v>
      </c>
      <c r="E14" s="17" t="s">
        <v>28</v>
      </c>
      <c r="F14" s="17">
        <v>26895</v>
      </c>
      <c r="G14" s="17">
        <v>58.003300000000003</v>
      </c>
      <c r="H14" s="17">
        <v>194</v>
      </c>
      <c r="I14" s="13"/>
      <c r="J14" s="14">
        <f t="shared" ref="J14:J66" si="3">H14-G14</f>
        <v>135.9967</v>
      </c>
      <c r="K14" s="18" t="str">
        <f t="shared" si="1"/>
        <v>sell135.9967</v>
      </c>
      <c r="L14" s="19">
        <f t="shared" si="2"/>
        <v>0</v>
      </c>
    </row>
    <row r="15" spans="2:12" x14ac:dyDescent="0.2">
      <c r="D15" s="16" t="s">
        <v>29</v>
      </c>
      <c r="E15" s="17" t="s">
        <v>30</v>
      </c>
      <c r="F15" s="17">
        <v>35478</v>
      </c>
      <c r="G15" s="17">
        <v>93</v>
      </c>
      <c r="H15" s="17">
        <v>15</v>
      </c>
      <c r="I15" s="13">
        <f t="shared" si="0"/>
        <v>78</v>
      </c>
      <c r="J15" s="14"/>
      <c r="K15" s="18">
        <f t="shared" si="1"/>
        <v>78</v>
      </c>
      <c r="L15" s="19">
        <f t="shared" si="2"/>
        <v>2767284</v>
      </c>
    </row>
    <row r="16" spans="2:12" x14ac:dyDescent="0.2">
      <c r="D16" s="16" t="s">
        <v>31</v>
      </c>
      <c r="E16" s="17" t="s">
        <v>32</v>
      </c>
      <c r="F16" s="17">
        <v>50875</v>
      </c>
      <c r="G16" s="17">
        <v>253</v>
      </c>
      <c r="H16" s="17">
        <v>0</v>
      </c>
      <c r="I16" s="13">
        <f t="shared" si="0"/>
        <v>253</v>
      </c>
      <c r="J16" s="14"/>
      <c r="K16" s="18">
        <f t="shared" si="1"/>
        <v>253</v>
      </c>
      <c r="L16" s="20">
        <f t="shared" si="2"/>
        <v>12871375</v>
      </c>
    </row>
    <row r="17" spans="4:12" x14ac:dyDescent="0.2">
      <c r="D17" s="16" t="s">
        <v>33</v>
      </c>
      <c r="E17" s="17" t="s">
        <v>34</v>
      </c>
      <c r="F17" s="17">
        <v>16210</v>
      </c>
      <c r="G17" s="17">
        <v>81</v>
      </c>
      <c r="H17" s="17">
        <v>22</v>
      </c>
      <c r="I17" s="13">
        <f t="shared" si="0"/>
        <v>59</v>
      </c>
      <c r="J17" s="14"/>
      <c r="K17" s="18">
        <f t="shared" si="1"/>
        <v>59</v>
      </c>
      <c r="L17" s="19">
        <f t="shared" si="2"/>
        <v>956390</v>
      </c>
    </row>
    <row r="18" spans="4:12" x14ac:dyDescent="0.2">
      <c r="D18" s="21" t="s">
        <v>35</v>
      </c>
      <c r="E18" s="21" t="s">
        <v>36</v>
      </c>
      <c r="F18" s="22">
        <v>17074</v>
      </c>
      <c r="G18" s="17">
        <v>283</v>
      </c>
      <c r="H18" s="17">
        <v>43</v>
      </c>
      <c r="I18" s="13">
        <f t="shared" si="0"/>
        <v>240</v>
      </c>
      <c r="J18" s="14"/>
      <c r="K18" s="18"/>
      <c r="L18" s="19">
        <f t="shared" si="2"/>
        <v>4097760</v>
      </c>
    </row>
    <row r="19" spans="4:12" x14ac:dyDescent="0.2">
      <c r="D19" s="16" t="s">
        <v>37</v>
      </c>
      <c r="E19" s="17" t="s">
        <v>38</v>
      </c>
      <c r="F19" s="17">
        <v>27427</v>
      </c>
      <c r="G19" s="17">
        <v>3848</v>
      </c>
      <c r="H19" s="17">
        <v>1160</v>
      </c>
      <c r="I19" s="13">
        <f t="shared" si="0"/>
        <v>2688</v>
      </c>
      <c r="J19" s="14"/>
      <c r="K19" s="18">
        <f t="shared" si="1"/>
        <v>2688</v>
      </c>
      <c r="L19" s="20">
        <f t="shared" si="2"/>
        <v>73723776</v>
      </c>
    </row>
    <row r="20" spans="4:12" x14ac:dyDescent="0.2">
      <c r="D20" s="16" t="s">
        <v>39</v>
      </c>
      <c r="E20" s="17" t="s">
        <v>40</v>
      </c>
      <c r="F20" s="17">
        <v>19586</v>
      </c>
      <c r="G20" s="17">
        <v>62</v>
      </c>
      <c r="H20" s="17">
        <v>56</v>
      </c>
      <c r="I20" s="13">
        <f t="shared" si="0"/>
        <v>6</v>
      </c>
      <c r="J20" s="14"/>
      <c r="K20" s="18"/>
      <c r="L20" s="19"/>
    </row>
    <row r="21" spans="4:12" x14ac:dyDescent="0.2">
      <c r="D21" s="16" t="s">
        <v>41</v>
      </c>
      <c r="E21" s="17" t="s">
        <v>42</v>
      </c>
      <c r="F21" s="17">
        <v>27557</v>
      </c>
      <c r="G21" s="23">
        <v>2166.0014000000001</v>
      </c>
      <c r="H21" s="23">
        <v>2380</v>
      </c>
      <c r="I21" s="13"/>
      <c r="J21" s="14">
        <f t="shared" si="3"/>
        <v>213.9985999999999</v>
      </c>
      <c r="K21" s="18" t="str">
        <f t="shared" si="1"/>
        <v>sell213.9986</v>
      </c>
      <c r="L21" s="20">
        <f t="shared" si="2"/>
        <v>0</v>
      </c>
    </row>
    <row r="22" spans="4:12" x14ac:dyDescent="0.2">
      <c r="D22" s="16" t="s">
        <v>43</v>
      </c>
      <c r="E22" s="17" t="s">
        <v>44</v>
      </c>
      <c r="F22" s="17">
        <v>18738</v>
      </c>
      <c r="G22" s="17">
        <v>1071</v>
      </c>
      <c r="H22" s="17">
        <v>1058</v>
      </c>
      <c r="I22" s="13">
        <f t="shared" si="0"/>
        <v>13</v>
      </c>
      <c r="J22" s="14"/>
      <c r="K22" s="18">
        <f t="shared" si="1"/>
        <v>13</v>
      </c>
      <c r="L22" s="19">
        <f t="shared" si="2"/>
        <v>243594</v>
      </c>
    </row>
    <row r="23" spans="4:12" x14ac:dyDescent="0.2">
      <c r="D23" s="16" t="s">
        <v>45</v>
      </c>
      <c r="E23" s="17" t="s">
        <v>46</v>
      </c>
      <c r="F23" s="17">
        <v>20000</v>
      </c>
      <c r="G23" s="17">
        <v>498</v>
      </c>
      <c r="H23" s="17">
        <v>419</v>
      </c>
      <c r="I23" s="13">
        <f t="shared" si="0"/>
        <v>79</v>
      </c>
      <c r="J23" s="14"/>
      <c r="K23" s="18">
        <f t="shared" si="1"/>
        <v>79</v>
      </c>
      <c r="L23" s="19">
        <f t="shared" si="2"/>
        <v>1580000</v>
      </c>
    </row>
    <row r="24" spans="4:12" x14ac:dyDescent="0.2">
      <c r="D24" s="16" t="s">
        <v>47</v>
      </c>
      <c r="E24" s="17" t="s">
        <v>48</v>
      </c>
      <c r="F24" s="17">
        <v>44000</v>
      </c>
      <c r="G24" s="17">
        <v>32</v>
      </c>
      <c r="H24" s="17">
        <v>41</v>
      </c>
      <c r="I24" s="13"/>
      <c r="J24" s="14">
        <f t="shared" si="3"/>
        <v>9</v>
      </c>
      <c r="K24" s="18" t="str">
        <f t="shared" si="1"/>
        <v>sell9</v>
      </c>
      <c r="L24" s="19">
        <f t="shared" si="2"/>
        <v>0</v>
      </c>
    </row>
    <row r="25" spans="4:12" x14ac:dyDescent="0.2">
      <c r="D25" s="16" t="s">
        <v>49</v>
      </c>
      <c r="E25" s="17" t="s">
        <v>50</v>
      </c>
      <c r="F25" s="17">
        <v>65015</v>
      </c>
      <c r="G25" s="17">
        <v>81</v>
      </c>
      <c r="H25" s="17">
        <v>74</v>
      </c>
      <c r="I25" s="13">
        <f t="shared" si="0"/>
        <v>7</v>
      </c>
      <c r="J25" s="14"/>
      <c r="K25" s="18">
        <f t="shared" si="1"/>
        <v>7</v>
      </c>
      <c r="L25" s="19">
        <f t="shared" si="2"/>
        <v>455105</v>
      </c>
    </row>
    <row r="26" spans="4:12" x14ac:dyDescent="0.2">
      <c r="D26" s="16" t="s">
        <v>51</v>
      </c>
      <c r="E26" s="17" t="s">
        <v>52</v>
      </c>
      <c r="F26" s="17">
        <v>57452.3</v>
      </c>
      <c r="G26" s="17">
        <v>1044</v>
      </c>
      <c r="H26" s="17">
        <v>855</v>
      </c>
      <c r="I26" s="13">
        <f t="shared" si="0"/>
        <v>189</v>
      </c>
      <c r="J26" s="14"/>
      <c r="K26" s="18">
        <f t="shared" si="1"/>
        <v>189</v>
      </c>
      <c r="L26" s="19">
        <f t="shared" si="2"/>
        <v>10858484.700000001</v>
      </c>
    </row>
    <row r="27" spans="4:12" x14ac:dyDescent="0.2">
      <c r="D27" s="16" t="s">
        <v>53</v>
      </c>
      <c r="E27" s="17" t="s">
        <v>54</v>
      </c>
      <c r="F27" s="17">
        <v>48825.425000000003</v>
      </c>
      <c r="G27" s="17">
        <v>187</v>
      </c>
      <c r="H27" s="17">
        <v>108</v>
      </c>
      <c r="I27" s="13">
        <f t="shared" si="0"/>
        <v>79</v>
      </c>
      <c r="J27" s="14"/>
      <c r="K27" s="18">
        <f t="shared" si="1"/>
        <v>79</v>
      </c>
      <c r="L27" s="19">
        <f t="shared" si="2"/>
        <v>3857208.5750000002</v>
      </c>
    </row>
    <row r="28" spans="4:12" x14ac:dyDescent="0.2">
      <c r="D28" s="16" t="s">
        <v>55</v>
      </c>
      <c r="E28" s="17" t="s">
        <v>56</v>
      </c>
      <c r="F28" s="17">
        <v>57452</v>
      </c>
      <c r="G28" s="17">
        <v>0</v>
      </c>
      <c r="H28" s="17">
        <v>0</v>
      </c>
      <c r="I28" s="13">
        <f t="shared" si="0"/>
        <v>0</v>
      </c>
      <c r="J28" s="14">
        <f t="shared" si="3"/>
        <v>0</v>
      </c>
      <c r="K28" s="18" t="str">
        <f t="shared" si="1"/>
        <v>bal</v>
      </c>
      <c r="L28" s="19">
        <f t="shared" si="2"/>
        <v>0</v>
      </c>
    </row>
    <row r="29" spans="4:12" x14ac:dyDescent="0.2">
      <c r="D29" s="16" t="s">
        <v>57</v>
      </c>
      <c r="E29" s="17" t="s">
        <v>58</v>
      </c>
      <c r="F29" s="17">
        <v>10886</v>
      </c>
      <c r="G29" s="17">
        <v>58</v>
      </c>
      <c r="H29" s="17">
        <v>0</v>
      </c>
      <c r="I29" s="13">
        <f t="shared" si="0"/>
        <v>58</v>
      </c>
      <c r="J29" s="14"/>
      <c r="K29" s="18">
        <f t="shared" si="1"/>
        <v>58</v>
      </c>
      <c r="L29" s="19">
        <f t="shared" si="2"/>
        <v>631388</v>
      </c>
    </row>
    <row r="30" spans="4:12" x14ac:dyDescent="0.2">
      <c r="D30" s="16" t="s">
        <v>59</v>
      </c>
      <c r="E30" s="17" t="s">
        <v>60</v>
      </c>
      <c r="F30" s="17">
        <v>50875</v>
      </c>
      <c r="G30" s="17">
        <v>343</v>
      </c>
      <c r="H30" s="17">
        <v>317</v>
      </c>
      <c r="I30" s="13">
        <f t="shared" si="0"/>
        <v>26</v>
      </c>
      <c r="J30" s="14"/>
      <c r="K30" s="18">
        <f t="shared" si="1"/>
        <v>26</v>
      </c>
      <c r="L30" s="19">
        <f t="shared" si="2"/>
        <v>1322750</v>
      </c>
    </row>
    <row r="31" spans="4:12" x14ac:dyDescent="0.2">
      <c r="D31" s="16" t="s">
        <v>61</v>
      </c>
      <c r="E31" s="17" t="s">
        <v>62</v>
      </c>
      <c r="F31" s="17">
        <v>14402.635</v>
      </c>
      <c r="G31" s="17">
        <v>65</v>
      </c>
      <c r="H31" s="17">
        <v>9</v>
      </c>
      <c r="I31" s="13">
        <f t="shared" si="0"/>
        <v>56</v>
      </c>
      <c r="J31" s="14"/>
      <c r="K31" s="18">
        <f t="shared" si="1"/>
        <v>56</v>
      </c>
      <c r="L31" s="19">
        <f t="shared" si="2"/>
        <v>806547.56</v>
      </c>
    </row>
    <row r="32" spans="4:12" x14ac:dyDescent="0.2">
      <c r="D32" s="16" t="s">
        <v>63</v>
      </c>
      <c r="E32" s="17" t="s">
        <v>64</v>
      </c>
      <c r="F32" s="17">
        <v>45484.33</v>
      </c>
      <c r="G32" s="17">
        <v>77</v>
      </c>
      <c r="H32" s="17">
        <v>46</v>
      </c>
      <c r="I32" s="13">
        <f t="shared" si="0"/>
        <v>31</v>
      </c>
      <c r="J32" s="14"/>
      <c r="K32" s="18">
        <f t="shared" si="1"/>
        <v>31</v>
      </c>
      <c r="L32" s="19">
        <f t="shared" si="2"/>
        <v>1410014.23</v>
      </c>
    </row>
    <row r="33" spans="4:12" x14ac:dyDescent="0.2">
      <c r="D33" s="16" t="s">
        <v>65</v>
      </c>
      <c r="E33" s="17" t="s">
        <v>66</v>
      </c>
      <c r="F33" s="17">
        <v>16801.18</v>
      </c>
      <c r="G33" s="17">
        <v>864</v>
      </c>
      <c r="H33" s="17">
        <v>700</v>
      </c>
      <c r="I33" s="13">
        <f t="shared" si="0"/>
        <v>164</v>
      </c>
      <c r="J33" s="14"/>
      <c r="K33" s="18">
        <f t="shared" si="1"/>
        <v>164</v>
      </c>
      <c r="L33" s="19">
        <f t="shared" si="2"/>
        <v>2755393.52</v>
      </c>
    </row>
    <row r="34" spans="4:12" x14ac:dyDescent="0.2">
      <c r="D34" s="16" t="s">
        <v>67</v>
      </c>
      <c r="E34" s="17" t="s">
        <v>68</v>
      </c>
      <c r="F34" s="17">
        <v>62500.5</v>
      </c>
      <c r="G34" s="17">
        <v>55</v>
      </c>
      <c r="H34" s="17">
        <v>117</v>
      </c>
      <c r="I34" s="13"/>
      <c r="J34" s="14">
        <f t="shared" si="3"/>
        <v>62</v>
      </c>
      <c r="K34" s="18" t="str">
        <f t="shared" si="1"/>
        <v>sell62</v>
      </c>
      <c r="L34" s="19">
        <f t="shared" si="2"/>
        <v>0</v>
      </c>
    </row>
    <row r="35" spans="4:12" x14ac:dyDescent="0.2">
      <c r="D35" s="16" t="s">
        <v>69</v>
      </c>
      <c r="E35" s="17" t="s">
        <v>70</v>
      </c>
      <c r="F35" s="17">
        <v>14402.635</v>
      </c>
      <c r="G35" s="17">
        <v>221</v>
      </c>
      <c r="H35" s="17">
        <v>173</v>
      </c>
      <c r="I35" s="13">
        <f t="shared" si="0"/>
        <v>48</v>
      </c>
      <c r="J35" s="14"/>
      <c r="K35" s="18">
        <f t="shared" si="1"/>
        <v>48</v>
      </c>
      <c r="L35" s="19">
        <f t="shared" si="2"/>
        <v>691326.48</v>
      </c>
    </row>
    <row r="36" spans="4:12" x14ac:dyDescent="0.2">
      <c r="D36" s="16" t="s">
        <v>71</v>
      </c>
      <c r="E36" s="17" t="s">
        <v>72</v>
      </c>
      <c r="F36" s="17">
        <v>27941</v>
      </c>
      <c r="G36" s="17">
        <v>43</v>
      </c>
      <c r="H36" s="17">
        <v>25</v>
      </c>
      <c r="I36" s="13">
        <f t="shared" si="0"/>
        <v>18</v>
      </c>
      <c r="J36" s="14"/>
      <c r="K36" s="18">
        <f t="shared" si="1"/>
        <v>18</v>
      </c>
      <c r="L36" s="19">
        <f t="shared" si="2"/>
        <v>502938</v>
      </c>
    </row>
    <row r="37" spans="4:12" x14ac:dyDescent="0.2">
      <c r="D37" s="16" t="s">
        <v>73</v>
      </c>
      <c r="E37" s="17" t="s">
        <v>74</v>
      </c>
      <c r="F37" s="17">
        <v>30000</v>
      </c>
      <c r="G37" s="17">
        <v>3</v>
      </c>
      <c r="H37" s="17">
        <v>0</v>
      </c>
      <c r="I37" s="13">
        <f t="shared" si="0"/>
        <v>3</v>
      </c>
      <c r="J37" s="14"/>
      <c r="K37" s="18">
        <f t="shared" si="1"/>
        <v>3</v>
      </c>
      <c r="L37" s="19">
        <f t="shared" si="2"/>
        <v>90000</v>
      </c>
    </row>
    <row r="38" spans="4:12" x14ac:dyDescent="0.2">
      <c r="D38" s="16" t="s">
        <v>75</v>
      </c>
      <c r="E38" s="17" t="s">
        <v>76</v>
      </c>
      <c r="F38" s="17">
        <v>32000</v>
      </c>
      <c r="G38" s="17">
        <v>0</v>
      </c>
      <c r="H38" s="17">
        <v>0</v>
      </c>
      <c r="I38" s="13">
        <f t="shared" si="0"/>
        <v>0</v>
      </c>
      <c r="J38" s="14">
        <f t="shared" si="3"/>
        <v>0</v>
      </c>
      <c r="K38" s="18" t="str">
        <f t="shared" si="1"/>
        <v>bal</v>
      </c>
      <c r="L38" s="19">
        <f t="shared" si="2"/>
        <v>0</v>
      </c>
    </row>
    <row r="39" spans="4:12" x14ac:dyDescent="0.2">
      <c r="D39" s="16" t="s">
        <v>77</v>
      </c>
      <c r="E39" s="17" t="s">
        <v>78</v>
      </c>
      <c r="F39" s="17">
        <v>31800</v>
      </c>
      <c r="G39" s="17">
        <v>22</v>
      </c>
      <c r="H39" s="17">
        <v>12</v>
      </c>
      <c r="I39" s="13">
        <f t="shared" si="0"/>
        <v>10</v>
      </c>
      <c r="J39" s="14"/>
      <c r="K39" s="18">
        <f t="shared" si="1"/>
        <v>10</v>
      </c>
      <c r="L39" s="19">
        <f t="shared" si="2"/>
        <v>318000</v>
      </c>
    </row>
    <row r="40" spans="4:12" x14ac:dyDescent="0.2">
      <c r="D40" s="16" t="s">
        <v>79</v>
      </c>
      <c r="E40" s="17" t="s">
        <v>80</v>
      </c>
      <c r="F40" s="17">
        <v>31800</v>
      </c>
      <c r="G40" s="17">
        <v>33</v>
      </c>
      <c r="H40" s="17">
        <v>66</v>
      </c>
      <c r="I40" s="13"/>
      <c r="J40" s="14">
        <f t="shared" si="3"/>
        <v>33</v>
      </c>
      <c r="K40" s="18" t="str">
        <f t="shared" si="1"/>
        <v>sell33</v>
      </c>
      <c r="L40" s="19">
        <f t="shared" si="2"/>
        <v>0</v>
      </c>
    </row>
    <row r="41" spans="4:12" x14ac:dyDescent="0.2">
      <c r="D41" s="16" t="s">
        <v>81</v>
      </c>
      <c r="E41" s="17" t="s">
        <v>82</v>
      </c>
      <c r="F41" s="17">
        <v>31800</v>
      </c>
      <c r="G41" s="17">
        <v>235</v>
      </c>
      <c r="H41" s="17">
        <v>0</v>
      </c>
      <c r="I41" s="13">
        <f t="shared" si="0"/>
        <v>235</v>
      </c>
      <c r="J41" s="14"/>
      <c r="K41" s="18">
        <f t="shared" si="1"/>
        <v>235</v>
      </c>
      <c r="L41" s="19">
        <f t="shared" si="2"/>
        <v>7473000</v>
      </c>
    </row>
    <row r="42" spans="4:12" x14ac:dyDescent="0.2">
      <c r="D42" s="16" t="s">
        <v>83</v>
      </c>
      <c r="E42" s="17" t="s">
        <v>84</v>
      </c>
      <c r="F42" s="17">
        <v>31800</v>
      </c>
      <c r="G42" s="17">
        <v>53</v>
      </c>
      <c r="H42" s="17">
        <v>49</v>
      </c>
      <c r="I42" s="13">
        <f t="shared" si="0"/>
        <v>4</v>
      </c>
      <c r="J42" s="14"/>
      <c r="K42" s="18">
        <f t="shared" si="1"/>
        <v>4</v>
      </c>
      <c r="L42" s="19">
        <f t="shared" si="2"/>
        <v>127200</v>
      </c>
    </row>
    <row r="43" spans="4:12" x14ac:dyDescent="0.2">
      <c r="D43" s="16" t="s">
        <v>85</v>
      </c>
      <c r="E43" s="17" t="s">
        <v>86</v>
      </c>
      <c r="F43" s="17">
        <v>31800</v>
      </c>
      <c r="G43" s="17">
        <v>123</v>
      </c>
      <c r="H43" s="17">
        <v>19</v>
      </c>
      <c r="I43" s="13">
        <f t="shared" si="0"/>
        <v>104</v>
      </c>
      <c r="J43" s="14"/>
      <c r="K43" s="18">
        <f t="shared" si="1"/>
        <v>104</v>
      </c>
      <c r="L43" s="19">
        <f t="shared" si="2"/>
        <v>3307200</v>
      </c>
    </row>
    <row r="44" spans="4:12" x14ac:dyDescent="0.2">
      <c r="D44" s="16" t="s">
        <v>87</v>
      </c>
      <c r="E44" s="17" t="s">
        <v>88</v>
      </c>
      <c r="F44" s="17">
        <v>31800</v>
      </c>
      <c r="G44" s="17">
        <v>5</v>
      </c>
      <c r="H44" s="17">
        <v>69</v>
      </c>
      <c r="I44" s="13"/>
      <c r="J44" s="14">
        <f t="shared" si="3"/>
        <v>64</v>
      </c>
      <c r="K44" s="18" t="str">
        <f t="shared" si="1"/>
        <v>sell64</v>
      </c>
      <c r="L44" s="19">
        <f t="shared" si="2"/>
        <v>0</v>
      </c>
    </row>
    <row r="45" spans="4:12" x14ac:dyDescent="0.2">
      <c r="D45" s="16" t="s">
        <v>89</v>
      </c>
      <c r="E45" s="17" t="s">
        <v>90</v>
      </c>
      <c r="F45" s="17">
        <v>31800</v>
      </c>
      <c r="G45" s="17">
        <v>4</v>
      </c>
      <c r="H45" s="17">
        <v>0</v>
      </c>
      <c r="I45" s="13">
        <f t="shared" si="0"/>
        <v>4</v>
      </c>
      <c r="J45" s="14"/>
      <c r="K45" s="18">
        <f t="shared" si="1"/>
        <v>4</v>
      </c>
      <c r="L45" s="19">
        <f t="shared" si="2"/>
        <v>127200</v>
      </c>
    </row>
    <row r="46" spans="4:12" x14ac:dyDescent="0.2">
      <c r="D46" s="16" t="s">
        <v>91</v>
      </c>
      <c r="E46" s="17" t="s">
        <v>92</v>
      </c>
      <c r="F46" s="24">
        <v>26217.23</v>
      </c>
      <c r="G46" s="17">
        <v>157</v>
      </c>
      <c r="H46" s="17">
        <v>144</v>
      </c>
      <c r="I46" s="13">
        <f t="shared" si="0"/>
        <v>13</v>
      </c>
      <c r="J46" s="14"/>
      <c r="K46" s="18"/>
      <c r="L46" s="19"/>
    </row>
    <row r="47" spans="4:12" x14ac:dyDescent="0.2">
      <c r="D47" s="16" t="s">
        <v>93</v>
      </c>
      <c r="E47" s="17" t="s">
        <v>94</v>
      </c>
      <c r="F47" s="17">
        <v>31800</v>
      </c>
      <c r="G47" s="17">
        <v>0</v>
      </c>
      <c r="H47" s="17">
        <v>0</v>
      </c>
      <c r="I47" s="13">
        <f t="shared" si="0"/>
        <v>0</v>
      </c>
      <c r="J47" s="14">
        <f t="shared" si="3"/>
        <v>0</v>
      </c>
      <c r="K47" s="18" t="str">
        <f t="shared" si="1"/>
        <v>bal</v>
      </c>
      <c r="L47" s="19">
        <f t="shared" si="2"/>
        <v>0</v>
      </c>
    </row>
    <row r="48" spans="4:12" x14ac:dyDescent="0.2">
      <c r="D48" s="16" t="s">
        <v>95</v>
      </c>
      <c r="E48" s="17" t="s">
        <v>96</v>
      </c>
      <c r="F48" s="17">
        <v>157500</v>
      </c>
      <c r="G48" s="17">
        <v>307.33499999999998</v>
      </c>
      <c r="H48" s="17">
        <v>192</v>
      </c>
      <c r="I48" s="13">
        <f t="shared" si="0"/>
        <v>115.33499999999998</v>
      </c>
      <c r="J48" s="14"/>
      <c r="K48" s="18">
        <f t="shared" si="1"/>
        <v>115.33499999999998</v>
      </c>
      <c r="L48" s="20">
        <f t="shared" si="2"/>
        <v>18165262.499999996</v>
      </c>
    </row>
    <row r="49" spans="4:12" x14ac:dyDescent="0.2">
      <c r="D49" s="16" t="s">
        <v>97</v>
      </c>
      <c r="E49" s="17" t="s">
        <v>98</v>
      </c>
      <c r="F49" s="17">
        <v>69045</v>
      </c>
      <c r="G49" s="17">
        <v>196</v>
      </c>
      <c r="H49" s="17">
        <v>142</v>
      </c>
      <c r="I49" s="13">
        <f t="shared" si="0"/>
        <v>54</v>
      </c>
      <c r="J49" s="14"/>
      <c r="K49" s="18">
        <f t="shared" si="1"/>
        <v>54</v>
      </c>
      <c r="L49" s="19">
        <f t="shared" si="2"/>
        <v>3728430</v>
      </c>
    </row>
    <row r="50" spans="4:12" x14ac:dyDescent="0.2">
      <c r="D50" s="16" t="s">
        <v>99</v>
      </c>
      <c r="E50" s="17" t="s">
        <v>100</v>
      </c>
      <c r="F50" s="17">
        <v>72145</v>
      </c>
      <c r="G50" s="17">
        <v>120</v>
      </c>
      <c r="H50" s="17">
        <v>75</v>
      </c>
      <c r="I50" s="13">
        <f t="shared" si="0"/>
        <v>45</v>
      </c>
      <c r="J50" s="14"/>
      <c r="K50" s="18">
        <f t="shared" si="1"/>
        <v>45</v>
      </c>
      <c r="L50" s="19">
        <f t="shared" si="2"/>
        <v>3246525</v>
      </c>
    </row>
    <row r="51" spans="4:12" x14ac:dyDescent="0.2">
      <c r="D51" s="16" t="s">
        <v>101</v>
      </c>
      <c r="E51" s="17" t="s">
        <v>102</v>
      </c>
      <c r="F51" s="17">
        <v>210526.93</v>
      </c>
      <c r="G51" s="17">
        <v>13</v>
      </c>
      <c r="H51" s="17">
        <v>10</v>
      </c>
      <c r="I51" s="13">
        <f t="shared" si="0"/>
        <v>3</v>
      </c>
      <c r="J51" s="14"/>
      <c r="K51" s="18">
        <f t="shared" si="1"/>
        <v>3</v>
      </c>
      <c r="L51" s="19">
        <f t="shared" si="2"/>
        <v>631580.79</v>
      </c>
    </row>
    <row r="52" spans="4:12" x14ac:dyDescent="0.2">
      <c r="D52" s="16" t="s">
        <v>103</v>
      </c>
      <c r="E52" s="17" t="s">
        <v>104</v>
      </c>
      <c r="F52" s="17">
        <v>210526.93</v>
      </c>
      <c r="G52" s="17">
        <v>14</v>
      </c>
      <c r="H52" s="17">
        <v>16</v>
      </c>
      <c r="I52" s="13"/>
      <c r="J52" s="14">
        <f t="shared" si="3"/>
        <v>2</v>
      </c>
      <c r="K52" s="18" t="str">
        <f t="shared" si="1"/>
        <v>sell2</v>
      </c>
      <c r="L52" s="19">
        <f t="shared" si="2"/>
        <v>0</v>
      </c>
    </row>
    <row r="53" spans="4:12" x14ac:dyDescent="0.2">
      <c r="D53" s="16" t="s">
        <v>105</v>
      </c>
      <c r="E53" s="17" t="s">
        <v>106</v>
      </c>
      <c r="F53" s="17">
        <v>210526.93</v>
      </c>
      <c r="G53" s="17">
        <v>20</v>
      </c>
      <c r="H53" s="17">
        <v>10</v>
      </c>
      <c r="I53" s="13">
        <f t="shared" si="0"/>
        <v>10</v>
      </c>
      <c r="J53" s="14"/>
      <c r="K53" s="18">
        <f t="shared" si="1"/>
        <v>10</v>
      </c>
      <c r="L53" s="19">
        <f t="shared" si="2"/>
        <v>2105269.2999999998</v>
      </c>
    </row>
    <row r="54" spans="4:12" x14ac:dyDescent="0.2">
      <c r="D54" s="16" t="s">
        <v>107</v>
      </c>
      <c r="E54" s="17" t="s">
        <v>108</v>
      </c>
      <c r="F54" s="17">
        <v>210526.93</v>
      </c>
      <c r="G54" s="17">
        <v>36</v>
      </c>
      <c r="H54" s="17">
        <v>17</v>
      </c>
      <c r="I54" s="13">
        <f t="shared" si="0"/>
        <v>19</v>
      </c>
      <c r="J54" s="14"/>
      <c r="K54" s="18">
        <f t="shared" si="1"/>
        <v>19</v>
      </c>
      <c r="L54" s="19">
        <f t="shared" si="2"/>
        <v>4000011.67</v>
      </c>
    </row>
    <row r="55" spans="4:12" x14ac:dyDescent="0.2">
      <c r="D55" s="16" t="s">
        <v>109</v>
      </c>
      <c r="E55" s="17" t="s">
        <v>110</v>
      </c>
      <c r="F55" s="17">
        <v>210526.93</v>
      </c>
      <c r="G55" s="17">
        <v>13.5</v>
      </c>
      <c r="H55" s="17">
        <v>6</v>
      </c>
      <c r="I55" s="13">
        <f t="shared" si="0"/>
        <v>7.5</v>
      </c>
      <c r="J55" s="14"/>
      <c r="K55" s="18">
        <f t="shared" si="1"/>
        <v>7.5</v>
      </c>
      <c r="L55" s="19">
        <f t="shared" si="2"/>
        <v>1578951.9749999999</v>
      </c>
    </row>
    <row r="56" spans="4:12" x14ac:dyDescent="0.2">
      <c r="D56" s="16" t="s">
        <v>111</v>
      </c>
      <c r="E56" s="17" t="s">
        <v>112</v>
      </c>
      <c r="F56" s="17">
        <v>210526.93</v>
      </c>
      <c r="G56" s="17">
        <v>23</v>
      </c>
      <c r="H56" s="17">
        <v>5</v>
      </c>
      <c r="I56" s="13">
        <f t="shared" si="0"/>
        <v>18</v>
      </c>
      <c r="J56" s="14"/>
      <c r="K56" s="18">
        <f t="shared" si="1"/>
        <v>18</v>
      </c>
      <c r="L56" s="19">
        <f t="shared" si="2"/>
        <v>3789484.7399999998</v>
      </c>
    </row>
    <row r="57" spans="4:12" x14ac:dyDescent="0.2">
      <c r="D57" s="16" t="s">
        <v>113</v>
      </c>
      <c r="E57" s="17" t="s">
        <v>114</v>
      </c>
      <c r="F57" s="17">
        <v>157500</v>
      </c>
      <c r="G57" s="17">
        <v>31</v>
      </c>
      <c r="H57" s="17">
        <v>37</v>
      </c>
      <c r="I57" s="13"/>
      <c r="J57" s="14">
        <f t="shared" si="3"/>
        <v>6</v>
      </c>
      <c r="K57" s="18" t="str">
        <f t="shared" si="1"/>
        <v>sell6</v>
      </c>
      <c r="L57" s="19">
        <f t="shared" si="2"/>
        <v>0</v>
      </c>
    </row>
    <row r="58" spans="4:12" x14ac:dyDescent="0.2">
      <c r="D58" s="16" t="s">
        <v>115</v>
      </c>
      <c r="E58" s="17" t="s">
        <v>116</v>
      </c>
      <c r="F58" s="17">
        <v>122400</v>
      </c>
      <c r="G58" s="17">
        <v>0</v>
      </c>
      <c r="H58" s="17">
        <v>0</v>
      </c>
      <c r="I58" s="13">
        <f t="shared" si="0"/>
        <v>0</v>
      </c>
      <c r="J58" s="14">
        <f t="shared" si="3"/>
        <v>0</v>
      </c>
      <c r="K58" s="18" t="str">
        <f t="shared" si="1"/>
        <v>bal</v>
      </c>
      <c r="L58" s="19">
        <f t="shared" si="2"/>
        <v>0</v>
      </c>
    </row>
    <row r="59" spans="4:12" x14ac:dyDescent="0.2">
      <c r="D59" s="16"/>
      <c r="E59" s="25" t="s">
        <v>117</v>
      </c>
      <c r="F59" s="17"/>
      <c r="G59" s="17">
        <f>SUM(G6:G58)</f>
        <v>16841.8397</v>
      </c>
      <c r="H59" s="17">
        <f t="shared" ref="H59:J59" si="4">SUM(H6:H58)</f>
        <v>12070</v>
      </c>
      <c r="I59" s="18">
        <f t="shared" si="4"/>
        <v>5297.835</v>
      </c>
      <c r="J59" s="18">
        <f t="shared" si="4"/>
        <v>525.99529999999993</v>
      </c>
      <c r="K59" s="18"/>
      <c r="L59" s="26"/>
    </row>
    <row r="60" spans="4:12" ht="15.75" thickBot="1" x14ac:dyDescent="0.25">
      <c r="D60" s="27"/>
      <c r="E60" s="28" t="s">
        <v>118</v>
      </c>
      <c r="F60" s="29"/>
      <c r="G60" s="29"/>
      <c r="H60" s="29"/>
      <c r="I60" s="30">
        <f>SUMPRODUCT(F5:F58,I5:I58)</f>
        <v>192228973.32499999</v>
      </c>
      <c r="J60" s="30">
        <f>SUMPRODUCT(F5:F58,J5:J58)</f>
        <v>18276475.526699997</v>
      </c>
      <c r="K60" s="31"/>
      <c r="L60" s="32">
        <f>SUM(L6:L59)</f>
        <v>190860603.33499998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CEAA-D5AF-4EA6-B30E-A2EDDCDB0DFA}">
  <sheetPr>
    <tabColor rgb="FFFFC000"/>
  </sheetPr>
  <dimension ref="B1:O87"/>
  <sheetViews>
    <sheetView showGridLines="0" tabSelected="1" topLeftCell="D1" workbookViewId="0">
      <pane ySplit="3" topLeftCell="D54" activePane="bottomLeft" state="frozen"/>
      <selection activeCell="D1" sqref="D1"/>
      <selection pane="bottomLeft" activeCell="E82" sqref="E82"/>
    </sheetView>
  </sheetViews>
  <sheetFormatPr defaultRowHeight="15" x14ac:dyDescent="0.2"/>
  <cols>
    <col min="3" max="3" width="9.55078125" bestFit="1" customWidth="1"/>
    <col min="4" max="4" width="22.46484375" customWidth="1"/>
    <col min="5" max="5" width="60.9375" customWidth="1"/>
    <col min="6" max="6" width="14.9296875" customWidth="1"/>
    <col min="7" max="7" width="14.125" customWidth="1"/>
    <col min="8" max="8" width="13.1796875" customWidth="1"/>
    <col min="9" max="9" width="15.87109375" bestFit="1" customWidth="1"/>
    <col min="10" max="10" width="13.31640625" bestFit="1" customWidth="1"/>
    <col min="11" max="11" width="20.17578125" bestFit="1" customWidth="1"/>
    <col min="12" max="13" width="14.2578125" bestFit="1" customWidth="1"/>
    <col min="14" max="15" width="13.31640625" bestFit="1" customWidth="1"/>
  </cols>
  <sheetData>
    <row r="1" spans="2:15" ht="15.75" thickBot="1" x14ac:dyDescent="0.25">
      <c r="B1" s="1"/>
      <c r="C1" s="1"/>
      <c r="D1" s="33"/>
      <c r="E1" s="34"/>
      <c r="F1" s="35"/>
      <c r="G1" s="36"/>
      <c r="H1" s="36"/>
      <c r="I1" s="37" t="s">
        <v>119</v>
      </c>
      <c r="J1" s="38" t="s">
        <v>120</v>
      </c>
      <c r="K1" s="39"/>
      <c r="L1" s="39"/>
      <c r="M1" s="39"/>
      <c r="N1" s="39"/>
      <c r="O1" s="39"/>
    </row>
    <row r="2" spans="2:15" ht="16.5" thickBot="1" x14ac:dyDescent="0.25">
      <c r="D2" s="70" t="s">
        <v>121</v>
      </c>
      <c r="E2" s="71"/>
      <c r="F2" s="40"/>
      <c r="G2" s="41"/>
      <c r="H2" s="41"/>
      <c r="I2" s="42">
        <f>SUM(I4:I85)</f>
        <v>3485.8614000000007</v>
      </c>
      <c r="J2" s="43">
        <f>SUM(J4:J85)</f>
        <v>800.88419999999996</v>
      </c>
      <c r="K2" s="41"/>
      <c r="L2" s="41"/>
      <c r="M2" s="72" t="s">
        <v>122</v>
      </c>
      <c r="N2" s="72"/>
      <c r="O2" s="73"/>
    </row>
    <row r="3" spans="2:15" ht="27" thickBot="1" x14ac:dyDescent="0.25">
      <c r="C3" s="2">
        <v>46283</v>
      </c>
      <c r="D3" s="44" t="s">
        <v>0</v>
      </c>
      <c r="E3" s="45" t="s">
        <v>1</v>
      </c>
      <c r="F3" s="46" t="s">
        <v>2</v>
      </c>
      <c r="G3" s="47" t="s">
        <v>123</v>
      </c>
      <c r="H3" s="48" t="s">
        <v>124</v>
      </c>
      <c r="I3" s="49" t="s">
        <v>125</v>
      </c>
      <c r="J3" s="50" t="s">
        <v>126</v>
      </c>
      <c r="K3" s="51" t="s">
        <v>7</v>
      </c>
      <c r="L3" s="51" t="s">
        <v>8</v>
      </c>
      <c r="M3" s="51" t="s">
        <v>127</v>
      </c>
      <c r="N3" s="51" t="s">
        <v>128</v>
      </c>
      <c r="O3" s="51" t="s">
        <v>129</v>
      </c>
    </row>
    <row r="4" spans="2:15" ht="16.5" x14ac:dyDescent="0.2">
      <c r="D4" s="52" t="s">
        <v>11</v>
      </c>
      <c r="E4" s="53" t="s">
        <v>12</v>
      </c>
      <c r="F4" s="54">
        <v>41366</v>
      </c>
      <c r="G4" s="55">
        <f>_xlfn.XLOOKUP(D4,'[1]Inventory Item List'!$A$8:$A$165,'[1]Inventory Item List'!$E$8:$E$165,0)</f>
        <v>2.6667000000000001</v>
      </c>
      <c r="H4" s="56">
        <f>_xlfn.XLOOKUP(D4,[2]Sheet1!$A$2:$A$278,[2]Sheet1!$C$2:$C$278,0)</f>
        <v>0</v>
      </c>
      <c r="I4" s="56">
        <f>IF(H4&gt;=G4,"",G4-H4)</f>
        <v>2.6667000000000001</v>
      </c>
      <c r="J4" s="56" t="str">
        <f t="shared" ref="J4:J67" si="0">IF(G4&gt;=H4,"",H4-G4)</f>
        <v/>
      </c>
      <c r="K4" s="56">
        <f t="shared" ref="K4:K67" si="1">IF(G4&gt;H4,G4-H4,IF(H4&gt;G4,"sell" &amp; H4-G4, "bal"))</f>
        <v>2.6667000000000001</v>
      </c>
      <c r="L4" s="57">
        <f t="shared" ref="L4:L67" si="2">IF(G4&gt;H4,(G4-H4)*F4,0)</f>
        <v>110310.71220000001</v>
      </c>
      <c r="M4" s="57">
        <f>L4/2</f>
        <v>55155.356100000005</v>
      </c>
      <c r="N4" s="57">
        <f t="shared" ref="N4:O19" si="3">M4/2</f>
        <v>27577.678050000002</v>
      </c>
      <c r="O4" s="57">
        <f t="shared" si="3"/>
        <v>13788.839025000001</v>
      </c>
    </row>
    <row r="5" spans="2:15" ht="16.5" x14ac:dyDescent="0.2">
      <c r="D5" s="52" t="s">
        <v>13</v>
      </c>
      <c r="E5" s="53" t="s">
        <v>130</v>
      </c>
      <c r="F5" s="58">
        <v>27941.4</v>
      </c>
      <c r="G5" s="55">
        <f>_xlfn.XLOOKUP(D5,'[1]Inventory Item List'!$A$8:$A$165,'[1]Inventory Item List'!$E$8:$E$165,0)</f>
        <v>20</v>
      </c>
      <c r="H5" s="56">
        <f>_xlfn.XLOOKUP(D5,[2]Sheet1!$A$2:$A$278,[2]Sheet1!$C$2:$C$278,0)</f>
        <v>19</v>
      </c>
      <c r="I5" s="56">
        <f t="shared" ref="I5:I68" si="4">IF(H5&gt;=G5,"",G5-H5)</f>
        <v>1</v>
      </c>
      <c r="J5" s="56" t="str">
        <f t="shared" si="0"/>
        <v/>
      </c>
      <c r="K5" s="56">
        <f t="shared" si="1"/>
        <v>1</v>
      </c>
      <c r="L5" s="57">
        <f t="shared" si="2"/>
        <v>27941.4</v>
      </c>
      <c r="M5" s="57">
        <f t="shared" ref="M5:O68" si="5">L5/2</f>
        <v>13970.7</v>
      </c>
      <c r="N5" s="57">
        <f t="shared" si="3"/>
        <v>6985.35</v>
      </c>
      <c r="O5" s="57">
        <f t="shared" si="3"/>
        <v>3492.6750000000002</v>
      </c>
    </row>
    <row r="6" spans="2:15" ht="16.5" x14ac:dyDescent="0.2">
      <c r="D6" s="52" t="s">
        <v>15</v>
      </c>
      <c r="E6" s="53" t="s">
        <v>131</v>
      </c>
      <c r="F6" s="58">
        <v>27941.4</v>
      </c>
      <c r="G6" s="55">
        <f>_xlfn.XLOOKUP(D6,'[1]Inventory Item List'!$A$8:$A$165,'[1]Inventory Item List'!$E$8:$E$165,0)</f>
        <v>3.25</v>
      </c>
      <c r="H6" s="56">
        <f>_xlfn.XLOOKUP(D6,[2]Sheet1!$A$2:$A$278,[2]Sheet1!$C$2:$C$278,0)</f>
        <v>2</v>
      </c>
      <c r="I6" s="56">
        <f t="shared" si="4"/>
        <v>1.25</v>
      </c>
      <c r="J6" s="56" t="str">
        <f t="shared" si="0"/>
        <v/>
      </c>
      <c r="K6" s="56">
        <f t="shared" si="1"/>
        <v>1.25</v>
      </c>
      <c r="L6" s="57">
        <f t="shared" si="2"/>
        <v>34926.75</v>
      </c>
      <c r="M6" s="57">
        <f t="shared" si="5"/>
        <v>17463.375</v>
      </c>
      <c r="N6" s="57">
        <f t="shared" si="3"/>
        <v>8731.6875</v>
      </c>
      <c r="O6" s="57">
        <f t="shared" si="3"/>
        <v>4365.84375</v>
      </c>
    </row>
    <row r="7" spans="2:15" ht="16.5" x14ac:dyDescent="0.2">
      <c r="D7" s="52" t="s">
        <v>132</v>
      </c>
      <c r="E7" s="53" t="s">
        <v>133</v>
      </c>
      <c r="F7" s="58">
        <v>41366</v>
      </c>
      <c r="G7" s="55">
        <f>_xlfn.XLOOKUP(D7,'[1]Inventory Item List'!$A$8:$A$165,'[1]Inventory Item List'!$E$8:$E$165,0)</f>
        <v>0</v>
      </c>
      <c r="H7" s="56">
        <f>_xlfn.XLOOKUP(D7,[2]Sheet1!$A$2:$A$278,[2]Sheet1!$C$2:$C$278,0)</f>
        <v>0</v>
      </c>
      <c r="I7" s="56" t="str">
        <f t="shared" si="4"/>
        <v/>
      </c>
      <c r="J7" s="56" t="str">
        <f t="shared" si="0"/>
        <v/>
      </c>
      <c r="K7" s="56" t="str">
        <f t="shared" si="1"/>
        <v>bal</v>
      </c>
      <c r="L7" s="57">
        <f t="shared" si="2"/>
        <v>0</v>
      </c>
      <c r="M7" s="57">
        <f t="shared" si="5"/>
        <v>0</v>
      </c>
      <c r="N7" s="57">
        <f t="shared" si="3"/>
        <v>0</v>
      </c>
      <c r="O7" s="57">
        <f t="shared" si="3"/>
        <v>0</v>
      </c>
    </row>
    <row r="8" spans="2:15" ht="16.5" x14ac:dyDescent="0.2">
      <c r="D8" s="52" t="s">
        <v>134</v>
      </c>
      <c r="E8" s="53" t="s">
        <v>135</v>
      </c>
      <c r="F8" s="58">
        <v>18628</v>
      </c>
      <c r="G8" s="55">
        <f>_xlfn.XLOOKUP(D8,'[1]Inventory Item List'!$A$8:$A$165,'[1]Inventory Item List'!$E$8:$E$165,0)</f>
        <v>11</v>
      </c>
      <c r="H8" s="56">
        <f>_xlfn.XLOOKUP(D8,[2]Sheet1!$A$2:$A$278,[2]Sheet1!$C$2:$C$278,0)</f>
        <v>0</v>
      </c>
      <c r="I8" s="56">
        <f t="shared" si="4"/>
        <v>11</v>
      </c>
      <c r="J8" s="56" t="str">
        <f t="shared" si="0"/>
        <v/>
      </c>
      <c r="K8" s="56">
        <f t="shared" si="1"/>
        <v>11</v>
      </c>
      <c r="L8" s="57">
        <f t="shared" si="2"/>
        <v>204908</v>
      </c>
      <c r="M8" s="57">
        <f t="shared" si="5"/>
        <v>102454</v>
      </c>
      <c r="N8" s="57">
        <f t="shared" si="3"/>
        <v>51227</v>
      </c>
      <c r="O8" s="57">
        <f t="shared" si="3"/>
        <v>25613.5</v>
      </c>
    </row>
    <row r="9" spans="2:15" ht="16.5" x14ac:dyDescent="0.2">
      <c r="D9" s="52" t="s">
        <v>17</v>
      </c>
      <c r="E9" s="53" t="s">
        <v>136</v>
      </c>
      <c r="F9" s="58">
        <v>50875.02</v>
      </c>
      <c r="G9" s="55">
        <f>_xlfn.XLOOKUP(D9,'[1]Inventory Item List'!$A$8:$A$165,'[1]Inventory Item List'!$E$8:$E$165,0)</f>
        <v>316</v>
      </c>
      <c r="H9" s="56">
        <f>_xlfn.XLOOKUP(D9,[2]Sheet1!$A$2:$A$278,[2]Sheet1!$C$2:$C$278,0)</f>
        <v>370</v>
      </c>
      <c r="I9" s="56" t="str">
        <f t="shared" si="4"/>
        <v/>
      </c>
      <c r="J9" s="56">
        <f t="shared" si="0"/>
        <v>54</v>
      </c>
      <c r="K9" s="56" t="str">
        <f t="shared" si="1"/>
        <v>sell54</v>
      </c>
      <c r="L9" s="57">
        <f t="shared" si="2"/>
        <v>0</v>
      </c>
      <c r="M9" s="57">
        <f t="shared" si="5"/>
        <v>0</v>
      </c>
      <c r="N9" s="57">
        <f t="shared" si="3"/>
        <v>0</v>
      </c>
      <c r="O9" s="57">
        <f t="shared" si="3"/>
        <v>0</v>
      </c>
    </row>
    <row r="10" spans="2:15" ht="16.5" x14ac:dyDescent="0.2">
      <c r="D10" s="52" t="s">
        <v>19</v>
      </c>
      <c r="E10" s="53" t="s">
        <v>20</v>
      </c>
      <c r="F10" s="58">
        <v>40132</v>
      </c>
      <c r="G10" s="55">
        <f>_xlfn.XLOOKUP(D10,'[1]Inventory Item List'!$A$8:$A$165,'[1]Inventory Item List'!$E$8:$E$165,0)</f>
        <v>8.5</v>
      </c>
      <c r="H10" s="56">
        <f>_xlfn.XLOOKUP(D10,[2]Sheet1!$A$2:$A$278,[2]Sheet1!$C$2:$C$278,0)</f>
        <v>11</v>
      </c>
      <c r="I10" s="56" t="str">
        <f t="shared" si="4"/>
        <v/>
      </c>
      <c r="J10" s="56">
        <f t="shared" si="0"/>
        <v>2.5</v>
      </c>
      <c r="K10" s="56" t="str">
        <f t="shared" si="1"/>
        <v>sell2.5</v>
      </c>
      <c r="L10" s="57">
        <f t="shared" si="2"/>
        <v>0</v>
      </c>
      <c r="M10" s="57">
        <f t="shared" si="5"/>
        <v>0</v>
      </c>
      <c r="N10" s="57">
        <f t="shared" si="3"/>
        <v>0</v>
      </c>
      <c r="O10" s="57">
        <f t="shared" si="3"/>
        <v>0</v>
      </c>
    </row>
    <row r="11" spans="2:15" ht="16.5" x14ac:dyDescent="0.2">
      <c r="D11" s="52" t="s">
        <v>21</v>
      </c>
      <c r="E11" s="53" t="s">
        <v>22</v>
      </c>
      <c r="F11" s="58">
        <v>50875</v>
      </c>
      <c r="G11" s="55">
        <f>_xlfn.XLOOKUP(D11,'[1]Inventory Item List'!$A$8:$A$165,'[1]Inventory Item List'!$E$8:$E$165,0)</f>
        <v>132.19999999999999</v>
      </c>
      <c r="H11" s="56">
        <f>_xlfn.XLOOKUP(D11,[2]Sheet1!$A$2:$A$278,[2]Sheet1!$C$2:$C$278,0)</f>
        <v>123</v>
      </c>
      <c r="I11" s="56">
        <f t="shared" si="4"/>
        <v>9.1999999999999886</v>
      </c>
      <c r="J11" s="56" t="str">
        <f t="shared" si="0"/>
        <v/>
      </c>
      <c r="K11" s="56">
        <f t="shared" si="1"/>
        <v>9.1999999999999886</v>
      </c>
      <c r="L11" s="57">
        <f t="shared" si="2"/>
        <v>468049.99999999942</v>
      </c>
      <c r="M11" s="57">
        <f t="shared" si="5"/>
        <v>234024.99999999971</v>
      </c>
      <c r="N11" s="57">
        <f t="shared" si="3"/>
        <v>117012.49999999985</v>
      </c>
      <c r="O11" s="57">
        <f t="shared" si="3"/>
        <v>58506.249999999927</v>
      </c>
    </row>
    <row r="12" spans="2:15" ht="16.5" x14ac:dyDescent="0.2">
      <c r="D12" s="52" t="s">
        <v>137</v>
      </c>
      <c r="E12" s="53" t="s">
        <v>138</v>
      </c>
      <c r="F12" s="58">
        <v>10886</v>
      </c>
      <c r="G12" s="55">
        <f>_xlfn.XLOOKUP(D12,'[1]Inventory Item List'!$A$8:$A$165,'[1]Inventory Item List'!$E$8:$E$165,0)</f>
        <v>0</v>
      </c>
      <c r="H12" s="56">
        <f>_xlfn.XLOOKUP(D12,[2]Sheet1!$A$2:$A$278,[2]Sheet1!$C$2:$C$278,0)</f>
        <v>0</v>
      </c>
      <c r="I12" s="56" t="str">
        <f t="shared" si="4"/>
        <v/>
      </c>
      <c r="J12" s="56" t="str">
        <f t="shared" si="0"/>
        <v/>
      </c>
      <c r="K12" s="56" t="str">
        <f t="shared" si="1"/>
        <v>bal</v>
      </c>
      <c r="L12" s="57">
        <f t="shared" si="2"/>
        <v>0</v>
      </c>
      <c r="M12" s="57">
        <f t="shared" si="5"/>
        <v>0</v>
      </c>
      <c r="N12" s="57">
        <f t="shared" si="3"/>
        <v>0</v>
      </c>
      <c r="O12" s="57">
        <f t="shared" si="3"/>
        <v>0</v>
      </c>
    </row>
    <row r="13" spans="2:15" ht="16.5" x14ac:dyDescent="0.2">
      <c r="D13" s="52" t="s">
        <v>25</v>
      </c>
      <c r="E13" s="53" t="s">
        <v>139</v>
      </c>
      <c r="F13" s="58">
        <v>14403</v>
      </c>
      <c r="G13" s="55">
        <f>_xlfn.XLOOKUP(D13,'[1]Inventory Item List'!$A$8:$A$165,'[1]Inventory Item List'!$E$8:$E$165,0)</f>
        <v>481</v>
      </c>
      <c r="H13" s="56">
        <f>_xlfn.XLOOKUP(D13,[2]Sheet1!$A$2:$A$278,[2]Sheet1!$C$2:$C$278,0)</f>
        <v>627</v>
      </c>
      <c r="I13" s="56" t="str">
        <f t="shared" si="4"/>
        <v/>
      </c>
      <c r="J13" s="56">
        <f t="shared" si="0"/>
        <v>146</v>
      </c>
      <c r="K13" s="56" t="str">
        <f t="shared" si="1"/>
        <v>sell146</v>
      </c>
      <c r="L13" s="57">
        <f t="shared" si="2"/>
        <v>0</v>
      </c>
      <c r="M13" s="57">
        <f t="shared" si="5"/>
        <v>0</v>
      </c>
      <c r="N13" s="57">
        <f t="shared" si="3"/>
        <v>0</v>
      </c>
      <c r="O13" s="57">
        <f t="shared" si="3"/>
        <v>0</v>
      </c>
    </row>
    <row r="14" spans="2:15" ht="16.5" x14ac:dyDescent="0.2">
      <c r="D14" s="52" t="s">
        <v>29</v>
      </c>
      <c r="E14" s="53" t="s">
        <v>140</v>
      </c>
      <c r="F14" s="58">
        <v>35478</v>
      </c>
      <c r="G14" s="55">
        <f>_xlfn.XLOOKUP(D14,'[1]Inventory Item List'!$A$8:$A$165,'[1]Inventory Item List'!$E$8:$E$165,0)</f>
        <v>78</v>
      </c>
      <c r="H14" s="56">
        <f>_xlfn.XLOOKUP(D14,[2]Sheet1!$A$2:$A$278,[2]Sheet1!$C$2:$C$278,0)</f>
        <v>45</v>
      </c>
      <c r="I14" s="56">
        <f t="shared" si="4"/>
        <v>33</v>
      </c>
      <c r="J14" s="56" t="str">
        <f t="shared" si="0"/>
        <v/>
      </c>
      <c r="K14" s="56">
        <f t="shared" si="1"/>
        <v>33</v>
      </c>
      <c r="L14" s="57">
        <f t="shared" si="2"/>
        <v>1170774</v>
      </c>
      <c r="M14" s="57">
        <f t="shared" si="5"/>
        <v>585387</v>
      </c>
      <c r="N14" s="57">
        <f t="shared" si="3"/>
        <v>292693.5</v>
      </c>
      <c r="O14" s="57">
        <f t="shared" si="3"/>
        <v>146346.75</v>
      </c>
    </row>
    <row r="15" spans="2:15" ht="16.5" x14ac:dyDescent="0.2">
      <c r="D15" s="52" t="s">
        <v>31</v>
      </c>
      <c r="E15" s="53" t="s">
        <v>32</v>
      </c>
      <c r="F15" s="58">
        <v>50875</v>
      </c>
      <c r="G15" s="55">
        <f>_xlfn.XLOOKUP(D15,'[1]Inventory Item List'!$A$8:$A$165,'[1]Inventory Item List'!$E$8:$E$165,0)</f>
        <v>603.79999999999995</v>
      </c>
      <c r="H15" s="56">
        <f>_xlfn.XLOOKUP(D15,[2]Sheet1!$A$2:$A$278,[2]Sheet1!$C$2:$C$278,0)</f>
        <v>550</v>
      </c>
      <c r="I15" s="56">
        <f t="shared" si="4"/>
        <v>53.799999999999955</v>
      </c>
      <c r="J15" s="56" t="str">
        <f t="shared" si="0"/>
        <v/>
      </c>
      <c r="K15" s="56">
        <f t="shared" si="1"/>
        <v>53.799999999999955</v>
      </c>
      <c r="L15" s="57">
        <f t="shared" si="2"/>
        <v>2737074.9999999977</v>
      </c>
      <c r="M15" s="57">
        <f t="shared" si="5"/>
        <v>1368537.4999999988</v>
      </c>
      <c r="N15" s="57">
        <f t="shared" si="3"/>
        <v>684268.74999999942</v>
      </c>
      <c r="O15" s="57">
        <f t="shared" si="3"/>
        <v>342134.37499999971</v>
      </c>
    </row>
    <row r="16" spans="2:15" ht="16.5" x14ac:dyDescent="0.2">
      <c r="D16" s="52" t="s">
        <v>27</v>
      </c>
      <c r="E16" s="53" t="s">
        <v>141</v>
      </c>
      <c r="F16" s="58">
        <v>26895</v>
      </c>
      <c r="G16" s="55">
        <f>_xlfn.XLOOKUP(D16,'[1]Inventory Item List'!$A$8:$A$165,'[1]Inventory Item List'!$E$8:$E$165,0)+180</f>
        <v>1046.4099000000001</v>
      </c>
      <c r="H16" s="56">
        <f>_xlfn.XLOOKUP(D16,[2]Sheet1!$A$2:$A$278,[2]Sheet1!$C$2:$C$278,0)</f>
        <v>231</v>
      </c>
      <c r="I16" s="56">
        <f t="shared" si="4"/>
        <v>815.40990000000011</v>
      </c>
      <c r="J16" s="56" t="str">
        <f t="shared" si="0"/>
        <v/>
      </c>
      <c r="K16" s="56">
        <f t="shared" si="1"/>
        <v>815.40990000000011</v>
      </c>
      <c r="L16" s="57">
        <f t="shared" si="2"/>
        <v>21930449.260500003</v>
      </c>
      <c r="M16" s="57">
        <f t="shared" si="5"/>
        <v>10965224.630250001</v>
      </c>
      <c r="N16" s="57">
        <f t="shared" si="3"/>
        <v>5482612.3151250007</v>
      </c>
      <c r="O16" s="57">
        <f t="shared" si="3"/>
        <v>2741306.1575625003</v>
      </c>
    </row>
    <row r="17" spans="4:15" ht="16.5" x14ac:dyDescent="0.2">
      <c r="D17" s="52" t="s">
        <v>142</v>
      </c>
      <c r="E17" s="53" t="s">
        <v>143</v>
      </c>
      <c r="F17" s="58">
        <v>50875</v>
      </c>
      <c r="G17" s="55">
        <f>_xlfn.XLOOKUP(D17,'[1]Inventory Item List'!$A$8:$A$165,'[1]Inventory Item List'!$E$8:$E$165,0)</f>
        <v>151</v>
      </c>
      <c r="H17" s="56">
        <f>_xlfn.XLOOKUP(D17,[2]Sheet1!$A$2:$A$278,[2]Sheet1!$C$2:$C$278,0)</f>
        <v>20</v>
      </c>
      <c r="I17" s="56">
        <f t="shared" si="4"/>
        <v>131</v>
      </c>
      <c r="J17" s="56" t="str">
        <f t="shared" si="0"/>
        <v/>
      </c>
      <c r="K17" s="56">
        <f t="shared" si="1"/>
        <v>131</v>
      </c>
      <c r="L17" s="57">
        <f t="shared" si="2"/>
        <v>6664625</v>
      </c>
      <c r="M17" s="57">
        <f t="shared" si="5"/>
        <v>3332312.5</v>
      </c>
      <c r="N17" s="57">
        <f t="shared" si="3"/>
        <v>1666156.25</v>
      </c>
      <c r="O17" s="57">
        <f t="shared" si="3"/>
        <v>833078.125</v>
      </c>
    </row>
    <row r="18" spans="4:15" ht="16.5" x14ac:dyDescent="0.2">
      <c r="D18" s="52" t="s">
        <v>33</v>
      </c>
      <c r="E18" s="53" t="s">
        <v>34</v>
      </c>
      <c r="F18" s="58">
        <v>16920</v>
      </c>
      <c r="G18" s="55">
        <f>_xlfn.XLOOKUP(D18,'[1]Inventory Item List'!$A$8:$A$165,'[1]Inventory Item List'!$E$8:$E$165,0)</f>
        <v>55</v>
      </c>
      <c r="H18" s="56">
        <f>_xlfn.XLOOKUP(D18,[2]Sheet1!$A$2:$A$278,[2]Sheet1!$C$2:$C$278,0)</f>
        <v>67</v>
      </c>
      <c r="I18" s="56" t="str">
        <f t="shared" si="4"/>
        <v/>
      </c>
      <c r="J18" s="56">
        <f t="shared" si="0"/>
        <v>12</v>
      </c>
      <c r="K18" s="56" t="str">
        <f t="shared" si="1"/>
        <v>sell12</v>
      </c>
      <c r="L18" s="57">
        <f t="shared" si="2"/>
        <v>0</v>
      </c>
      <c r="M18" s="57">
        <f t="shared" si="5"/>
        <v>0</v>
      </c>
      <c r="N18" s="57">
        <f t="shared" si="3"/>
        <v>0</v>
      </c>
      <c r="O18" s="57">
        <f t="shared" si="3"/>
        <v>0</v>
      </c>
    </row>
    <row r="19" spans="4:15" ht="16.5" x14ac:dyDescent="0.2">
      <c r="D19" s="52" t="s">
        <v>144</v>
      </c>
      <c r="E19" s="53" t="s">
        <v>145</v>
      </c>
      <c r="F19" s="58">
        <v>34698</v>
      </c>
      <c r="G19" s="55">
        <f>_xlfn.XLOOKUP(D19,'[1]Inventory Item List'!$A$8:$A$165,'[1]Inventory Item List'!$E$8:$E$165,0)</f>
        <v>99</v>
      </c>
      <c r="H19" s="56">
        <f>_xlfn.XLOOKUP(D19,[2]Sheet1!$A$2:$A$278,[2]Sheet1!$C$2:$C$278,0)</f>
        <v>81</v>
      </c>
      <c r="I19" s="56">
        <f t="shared" si="4"/>
        <v>18</v>
      </c>
      <c r="J19" s="56" t="str">
        <f t="shared" si="0"/>
        <v/>
      </c>
      <c r="K19" s="56">
        <f t="shared" si="1"/>
        <v>18</v>
      </c>
      <c r="L19" s="57">
        <f t="shared" si="2"/>
        <v>624564</v>
      </c>
      <c r="M19" s="57">
        <f t="shared" si="5"/>
        <v>312282</v>
      </c>
      <c r="N19" s="57">
        <f t="shared" si="3"/>
        <v>156141</v>
      </c>
      <c r="O19" s="57">
        <f t="shared" si="3"/>
        <v>78070.5</v>
      </c>
    </row>
    <row r="20" spans="4:15" ht="16.5" x14ac:dyDescent="0.2">
      <c r="D20" s="52" t="s">
        <v>37</v>
      </c>
      <c r="E20" s="53" t="s">
        <v>38</v>
      </c>
      <c r="F20" s="58">
        <v>27427</v>
      </c>
      <c r="G20" s="55">
        <f>_xlfn.XLOOKUP(D20,'[1]Inventory Item List'!$A$8:$A$165,'[1]Inventory Item List'!$E$8:$E$165,0)</f>
        <v>3195.1428000000001</v>
      </c>
      <c r="H20" s="56">
        <f>_xlfn.XLOOKUP(D20,[2]Sheet1!$A$2:$A$278,[2]Sheet1!$C$2:$C$278,0)</f>
        <v>1049</v>
      </c>
      <c r="I20" s="56">
        <f t="shared" si="4"/>
        <v>2146.1428000000001</v>
      </c>
      <c r="J20" s="56" t="str">
        <f t="shared" si="0"/>
        <v/>
      </c>
      <c r="K20" s="56">
        <f t="shared" si="1"/>
        <v>2146.1428000000001</v>
      </c>
      <c r="L20" s="57">
        <f t="shared" si="2"/>
        <v>58862258.575600006</v>
      </c>
      <c r="M20" s="57">
        <f t="shared" si="5"/>
        <v>29431129.287800003</v>
      </c>
      <c r="N20" s="57">
        <f t="shared" si="5"/>
        <v>14715564.643900001</v>
      </c>
      <c r="O20" s="57">
        <f t="shared" si="5"/>
        <v>7357782.3219500007</v>
      </c>
    </row>
    <row r="21" spans="4:15" ht="16.5" x14ac:dyDescent="0.2">
      <c r="D21" s="59" t="s">
        <v>146</v>
      </c>
      <c r="E21" s="53" t="s">
        <v>147</v>
      </c>
      <c r="F21" s="58">
        <v>19298.73</v>
      </c>
      <c r="G21" s="55">
        <f>_xlfn.XLOOKUP(D21,'[1]Inventory Item List'!$A$8:$A$165,'[1]Inventory Item List'!$E$8:$E$165,0)</f>
        <v>0</v>
      </c>
      <c r="H21" s="56">
        <f>_xlfn.XLOOKUP(D21,[2]Sheet1!$A$2:$A$278,[2]Sheet1!$C$2:$C$278,0)</f>
        <v>0</v>
      </c>
      <c r="I21" s="56" t="str">
        <f t="shared" si="4"/>
        <v/>
      </c>
      <c r="J21" s="56" t="str">
        <f t="shared" si="0"/>
        <v/>
      </c>
      <c r="K21" s="56" t="str">
        <f t="shared" si="1"/>
        <v>bal</v>
      </c>
      <c r="L21" s="57">
        <f t="shared" si="2"/>
        <v>0</v>
      </c>
      <c r="M21" s="57">
        <f t="shared" si="5"/>
        <v>0</v>
      </c>
      <c r="N21" s="57">
        <f t="shared" si="5"/>
        <v>0</v>
      </c>
      <c r="O21" s="57">
        <f t="shared" si="5"/>
        <v>0</v>
      </c>
    </row>
    <row r="22" spans="4:15" ht="16.5" x14ac:dyDescent="0.2">
      <c r="D22" s="52" t="s">
        <v>39</v>
      </c>
      <c r="E22" s="53" t="s">
        <v>148</v>
      </c>
      <c r="F22" s="58">
        <v>19586</v>
      </c>
      <c r="G22" s="55">
        <f>_xlfn.XLOOKUP(D22,'[1]Inventory Item List'!$A$8:$A$165,'[1]Inventory Item List'!$E$8:$E$165,0)</f>
        <v>22</v>
      </c>
      <c r="H22" s="56">
        <f>_xlfn.XLOOKUP(D22,[2]Sheet1!$A$2:$A$278,[2]Sheet1!$C$2:$C$278,0)</f>
        <v>10</v>
      </c>
      <c r="I22" s="56">
        <f t="shared" si="4"/>
        <v>12</v>
      </c>
      <c r="J22" s="56" t="str">
        <f t="shared" si="0"/>
        <v/>
      </c>
      <c r="K22" s="56">
        <f t="shared" si="1"/>
        <v>12</v>
      </c>
      <c r="L22" s="57">
        <f t="shared" si="2"/>
        <v>235032</v>
      </c>
      <c r="M22" s="57">
        <f t="shared" si="5"/>
        <v>117516</v>
      </c>
      <c r="N22" s="57">
        <f t="shared" si="5"/>
        <v>58758</v>
      </c>
      <c r="O22" s="57">
        <f t="shared" si="5"/>
        <v>29379</v>
      </c>
    </row>
    <row r="23" spans="4:15" ht="16.5" x14ac:dyDescent="0.2">
      <c r="D23" s="52" t="s">
        <v>149</v>
      </c>
      <c r="E23" s="53" t="s">
        <v>150</v>
      </c>
      <c r="F23" s="58">
        <v>23936</v>
      </c>
      <c r="G23" s="55">
        <f>_xlfn.XLOOKUP(D23,'[1]Inventory Item List'!$A$8:$A$165,'[1]Inventory Item List'!$E$8:$E$165,0)</f>
        <v>37</v>
      </c>
      <c r="H23" s="56">
        <f>_xlfn.XLOOKUP(D23,[2]Sheet1!$A$2:$A$278,[2]Sheet1!$C$2:$C$278,0)</f>
        <v>27</v>
      </c>
      <c r="I23" s="56">
        <f t="shared" si="4"/>
        <v>10</v>
      </c>
      <c r="J23" s="56" t="str">
        <f t="shared" si="0"/>
        <v/>
      </c>
      <c r="K23" s="56">
        <f t="shared" si="1"/>
        <v>10</v>
      </c>
      <c r="L23" s="57">
        <f t="shared" si="2"/>
        <v>239360</v>
      </c>
      <c r="M23" s="57">
        <f t="shared" si="5"/>
        <v>119680</v>
      </c>
      <c r="N23" s="57">
        <f t="shared" si="5"/>
        <v>59840</v>
      </c>
      <c r="O23" s="57">
        <f t="shared" si="5"/>
        <v>29920</v>
      </c>
    </row>
    <row r="24" spans="4:15" ht="16.5" x14ac:dyDescent="0.2">
      <c r="D24" s="52" t="s">
        <v>35</v>
      </c>
      <c r="E24" s="53" t="s">
        <v>36</v>
      </c>
      <c r="F24" s="58">
        <v>17100</v>
      </c>
      <c r="G24" s="55">
        <f>_xlfn.XLOOKUP(D24,'[1]Inventory Item List'!$A$8:$A$165,'[1]Inventory Item List'!$E$8:$E$165,0)</f>
        <v>65</v>
      </c>
      <c r="H24" s="56">
        <f>_xlfn.XLOOKUP(D24,[2]Sheet1!$A$2:$A$278,[2]Sheet1!$C$2:$C$278,0)</f>
        <v>48</v>
      </c>
      <c r="I24" s="56">
        <f t="shared" si="4"/>
        <v>17</v>
      </c>
      <c r="J24" s="56" t="str">
        <f t="shared" si="0"/>
        <v/>
      </c>
      <c r="K24" s="56">
        <f t="shared" si="1"/>
        <v>17</v>
      </c>
      <c r="L24" s="57">
        <f t="shared" si="2"/>
        <v>290700</v>
      </c>
      <c r="M24" s="57">
        <f t="shared" si="5"/>
        <v>145350</v>
      </c>
      <c r="N24" s="57">
        <f t="shared" si="5"/>
        <v>72675</v>
      </c>
      <c r="O24" s="57">
        <f t="shared" si="5"/>
        <v>36337.5</v>
      </c>
    </row>
    <row r="25" spans="4:15" ht="16.5" x14ac:dyDescent="0.2">
      <c r="D25" s="52" t="s">
        <v>41</v>
      </c>
      <c r="E25" s="53" t="s">
        <v>151</v>
      </c>
      <c r="F25" s="58">
        <v>27557</v>
      </c>
      <c r="G25" s="55">
        <f>_xlfn.XLOOKUP(D25,'[1]Inventory Item List'!$A$8:$A$165,'[1]Inventory Item List'!$E$8:$E$165,0)</f>
        <v>4470.3557000000001</v>
      </c>
      <c r="H25" s="56">
        <f>_xlfn.XLOOKUP(D25,[2]Sheet1!$A$2:$A$278,[2]Sheet1!$C$2:$C$278,0)</f>
        <v>4929</v>
      </c>
      <c r="I25" s="56" t="str">
        <f t="shared" si="4"/>
        <v/>
      </c>
      <c r="J25" s="56">
        <f t="shared" si="0"/>
        <v>458.64429999999993</v>
      </c>
      <c r="K25" s="56" t="str">
        <f t="shared" si="1"/>
        <v>sell458.6443</v>
      </c>
      <c r="L25" s="57">
        <f t="shared" si="2"/>
        <v>0</v>
      </c>
      <c r="M25" s="57">
        <f t="shared" si="5"/>
        <v>0</v>
      </c>
      <c r="N25" s="57">
        <f t="shared" si="5"/>
        <v>0</v>
      </c>
      <c r="O25" s="57">
        <f t="shared" si="5"/>
        <v>0</v>
      </c>
    </row>
    <row r="26" spans="4:15" ht="16.5" x14ac:dyDescent="0.2">
      <c r="D26" s="52" t="s">
        <v>152</v>
      </c>
      <c r="E26" s="53" t="s">
        <v>153</v>
      </c>
      <c r="F26" s="58">
        <v>21550</v>
      </c>
      <c r="G26" s="55">
        <f>_xlfn.XLOOKUP(D26,'[1]Inventory Item List'!$A$8:$A$165,'[1]Inventory Item List'!$E$8:$E$165,0)</f>
        <v>39</v>
      </c>
      <c r="H26" s="56">
        <f>_xlfn.XLOOKUP(D26,[2]Sheet1!$A$2:$A$278,[2]Sheet1!$C$2:$C$278,0)</f>
        <v>42</v>
      </c>
      <c r="I26" s="56" t="str">
        <f t="shared" si="4"/>
        <v/>
      </c>
      <c r="J26" s="56">
        <f t="shared" si="0"/>
        <v>3</v>
      </c>
      <c r="K26" s="56" t="str">
        <f t="shared" si="1"/>
        <v>sell3</v>
      </c>
      <c r="L26" s="57">
        <f t="shared" si="2"/>
        <v>0</v>
      </c>
      <c r="M26" s="57">
        <f t="shared" si="5"/>
        <v>0</v>
      </c>
      <c r="N26" s="57">
        <f t="shared" si="5"/>
        <v>0</v>
      </c>
      <c r="O26" s="57">
        <f t="shared" si="5"/>
        <v>0</v>
      </c>
    </row>
    <row r="27" spans="4:15" ht="16.5" x14ac:dyDescent="0.2">
      <c r="D27" s="52" t="s">
        <v>43</v>
      </c>
      <c r="E27" s="53" t="s">
        <v>44</v>
      </c>
      <c r="F27" s="58">
        <v>18783</v>
      </c>
      <c r="G27" s="55">
        <f>_xlfn.XLOOKUP(D27,'[1]Inventory Item List'!$A$8:$A$165,'[1]Inventory Item List'!$E$8:$E$165,0)</f>
        <v>0</v>
      </c>
      <c r="H27" s="56">
        <f>_xlfn.XLOOKUP(D27,[2]Sheet1!$A$2:$A$278,[2]Sheet1!$C$2:$C$278,0)</f>
        <v>1</v>
      </c>
      <c r="I27" s="56" t="str">
        <f t="shared" si="4"/>
        <v/>
      </c>
      <c r="J27" s="56">
        <f t="shared" si="0"/>
        <v>1</v>
      </c>
      <c r="K27" s="56" t="str">
        <f t="shared" si="1"/>
        <v>sell1</v>
      </c>
      <c r="L27" s="57">
        <f t="shared" si="2"/>
        <v>0</v>
      </c>
      <c r="M27" s="57">
        <f t="shared" si="5"/>
        <v>0</v>
      </c>
      <c r="N27" s="57">
        <f t="shared" si="5"/>
        <v>0</v>
      </c>
      <c r="O27" s="57">
        <f t="shared" si="5"/>
        <v>0</v>
      </c>
    </row>
    <row r="28" spans="4:15" ht="16.5" x14ac:dyDescent="0.2">
      <c r="D28" s="52" t="s">
        <v>154</v>
      </c>
      <c r="E28" s="53" t="s">
        <v>155</v>
      </c>
      <c r="F28" s="58">
        <v>18783</v>
      </c>
      <c r="G28" s="55">
        <f>_xlfn.XLOOKUP(D28,'[1]Inventory Item List'!$A$8:$A$165,'[1]Inventory Item List'!$E$8:$E$165,0)</f>
        <v>5.8367000000000004</v>
      </c>
      <c r="H28" s="56">
        <f>_xlfn.XLOOKUP(D28,[2]Sheet1!$A$2:$A$278,[2]Sheet1!$C$2:$C$278,0)</f>
        <v>2</v>
      </c>
      <c r="I28" s="56">
        <f t="shared" si="4"/>
        <v>3.8367000000000004</v>
      </c>
      <c r="J28" s="56" t="str">
        <f t="shared" si="0"/>
        <v/>
      </c>
      <c r="K28" s="56">
        <f t="shared" si="1"/>
        <v>3.8367000000000004</v>
      </c>
      <c r="L28" s="57">
        <f t="shared" si="2"/>
        <v>72064.736100000009</v>
      </c>
      <c r="M28" s="57">
        <f t="shared" si="5"/>
        <v>36032.368050000005</v>
      </c>
      <c r="N28" s="57">
        <f t="shared" si="5"/>
        <v>18016.184025000002</v>
      </c>
      <c r="O28" s="57">
        <f t="shared" si="5"/>
        <v>9008.0920125000011</v>
      </c>
    </row>
    <row r="29" spans="4:15" ht="16.5" x14ac:dyDescent="0.2">
      <c r="D29" s="52" t="s">
        <v>156</v>
      </c>
      <c r="E29" s="53" t="s">
        <v>157</v>
      </c>
      <c r="F29" s="58">
        <v>18946.41</v>
      </c>
      <c r="G29" s="55">
        <f>_xlfn.XLOOKUP(D29,'[1]Inventory Item List'!$A$8:$A$165,'[1]Inventory Item List'!$E$8:$E$165,0)</f>
        <v>0</v>
      </c>
      <c r="H29" s="56">
        <f>_xlfn.XLOOKUP(D29,[2]Sheet1!$A$2:$A$278,[2]Sheet1!$C$2:$C$278,0)</f>
        <v>0</v>
      </c>
      <c r="I29" s="56" t="str">
        <f t="shared" si="4"/>
        <v/>
      </c>
      <c r="J29" s="56" t="str">
        <f t="shared" si="0"/>
        <v/>
      </c>
      <c r="K29" s="56" t="str">
        <f t="shared" si="1"/>
        <v>bal</v>
      </c>
      <c r="L29" s="57">
        <f t="shared" si="2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</row>
    <row r="30" spans="4:15" ht="16.5" x14ac:dyDescent="0.2">
      <c r="D30" s="52" t="s">
        <v>45</v>
      </c>
      <c r="E30" s="53" t="s">
        <v>46</v>
      </c>
      <c r="F30" s="58">
        <v>20000</v>
      </c>
      <c r="G30" s="55">
        <f>_xlfn.XLOOKUP(D30,'[1]Inventory Item List'!$A$8:$A$165,'[1]Inventory Item List'!$E$8:$E$165,0)</f>
        <v>156.5</v>
      </c>
      <c r="H30" s="56">
        <f>_xlfn.XLOOKUP(D30,[2]Sheet1!$A$2:$A$278,[2]Sheet1!$C$2:$C$278,0)</f>
        <v>177</v>
      </c>
      <c r="I30" s="56" t="str">
        <f t="shared" si="4"/>
        <v/>
      </c>
      <c r="J30" s="56">
        <f t="shared" si="0"/>
        <v>20.5</v>
      </c>
      <c r="K30" s="56" t="str">
        <f t="shared" si="1"/>
        <v>sell20.5</v>
      </c>
      <c r="L30" s="57">
        <f t="shared" si="2"/>
        <v>0</v>
      </c>
      <c r="M30" s="57">
        <f t="shared" si="5"/>
        <v>0</v>
      </c>
      <c r="N30" s="57">
        <f t="shared" si="5"/>
        <v>0</v>
      </c>
      <c r="O30" s="57">
        <f t="shared" si="5"/>
        <v>0</v>
      </c>
    </row>
    <row r="31" spans="4:15" ht="16.5" x14ac:dyDescent="0.2">
      <c r="D31" s="52" t="s">
        <v>158</v>
      </c>
      <c r="E31" s="53" t="s">
        <v>159</v>
      </c>
      <c r="F31" s="58">
        <v>77780</v>
      </c>
      <c r="G31" s="55">
        <f>_xlfn.XLOOKUP(D31,'[1]Inventory Item List'!$A$8:$A$165,'[1]Inventory Item List'!$E$8:$E$165,0)</f>
        <v>29.5</v>
      </c>
      <c r="H31" s="56">
        <f>_xlfn.XLOOKUP(D31,[2]Sheet1!$A$2:$A$278,[2]Sheet1!$C$2:$C$278,0)</f>
        <v>23</v>
      </c>
      <c r="I31" s="56">
        <f t="shared" si="4"/>
        <v>6.5</v>
      </c>
      <c r="J31" s="56" t="str">
        <f t="shared" si="0"/>
        <v/>
      </c>
      <c r="K31" s="56">
        <f t="shared" si="1"/>
        <v>6.5</v>
      </c>
      <c r="L31" s="57">
        <f t="shared" si="2"/>
        <v>505570</v>
      </c>
      <c r="M31" s="57">
        <f t="shared" si="5"/>
        <v>252785</v>
      </c>
      <c r="N31" s="57">
        <f t="shared" si="5"/>
        <v>126392.5</v>
      </c>
      <c r="O31" s="57">
        <f t="shared" si="5"/>
        <v>63196.25</v>
      </c>
    </row>
    <row r="32" spans="4:15" ht="16.5" x14ac:dyDescent="0.2">
      <c r="D32" s="52" t="s">
        <v>47</v>
      </c>
      <c r="E32" s="53" t="s">
        <v>48</v>
      </c>
      <c r="F32" s="58">
        <v>44000</v>
      </c>
      <c r="G32" s="55">
        <f>_xlfn.XLOOKUP(D32,'[1]Inventory Item List'!$A$8:$A$165,'[1]Inventory Item List'!$E$8:$E$165,0)</f>
        <v>0</v>
      </c>
      <c r="H32" s="56">
        <f>_xlfn.XLOOKUP(D32,[2]Sheet1!$A$2:$A$278,[2]Sheet1!$C$2:$C$278,0)</f>
        <v>2</v>
      </c>
      <c r="I32" s="56" t="str">
        <f t="shared" si="4"/>
        <v/>
      </c>
      <c r="J32" s="56">
        <f t="shared" si="0"/>
        <v>2</v>
      </c>
      <c r="K32" s="56" t="str">
        <f t="shared" si="1"/>
        <v>sell2</v>
      </c>
      <c r="L32" s="57">
        <f t="shared" si="2"/>
        <v>0</v>
      </c>
      <c r="M32" s="57">
        <f t="shared" si="5"/>
        <v>0</v>
      </c>
      <c r="N32" s="57">
        <f t="shared" si="5"/>
        <v>0</v>
      </c>
      <c r="O32" s="57">
        <f t="shared" si="5"/>
        <v>0</v>
      </c>
    </row>
    <row r="33" spans="4:15" ht="16.5" x14ac:dyDescent="0.2">
      <c r="D33" s="59" t="s">
        <v>160</v>
      </c>
      <c r="E33" s="53" t="s">
        <v>161</v>
      </c>
      <c r="F33" s="58">
        <v>44000</v>
      </c>
      <c r="G33" s="55">
        <f>_xlfn.XLOOKUP(D33,'[1]Inventory Item List'!$A$8:$A$165,'[1]Inventory Item List'!$E$8:$E$165,0)</f>
        <v>18.149999999999999</v>
      </c>
      <c r="H33" s="56">
        <f>_xlfn.XLOOKUP(D33,[2]Sheet1!$A$2:$A$278,[2]Sheet1!$C$2:$C$278,0)</f>
        <v>0</v>
      </c>
      <c r="I33" s="56">
        <f t="shared" si="4"/>
        <v>18.149999999999999</v>
      </c>
      <c r="J33" s="56" t="str">
        <f t="shared" si="0"/>
        <v/>
      </c>
      <c r="K33" s="56">
        <f t="shared" si="1"/>
        <v>18.149999999999999</v>
      </c>
      <c r="L33" s="57">
        <f t="shared" si="2"/>
        <v>798599.99999999988</v>
      </c>
      <c r="M33" s="57">
        <f t="shared" si="5"/>
        <v>399299.99999999994</v>
      </c>
      <c r="N33" s="57">
        <f t="shared" si="5"/>
        <v>199649.99999999997</v>
      </c>
      <c r="O33" s="57">
        <f t="shared" si="5"/>
        <v>99824.999999999985</v>
      </c>
    </row>
    <row r="34" spans="4:15" ht="16.5" x14ac:dyDescent="0.2">
      <c r="D34" s="59" t="s">
        <v>49</v>
      </c>
      <c r="E34" s="53" t="s">
        <v>162</v>
      </c>
      <c r="F34" s="58">
        <v>68840</v>
      </c>
      <c r="G34" s="55">
        <f>_xlfn.XLOOKUP(D34,'[1]Inventory Item List'!$A$8:$A$165,'[1]Inventory Item List'!$E$8:$E$165,0)</f>
        <v>82.254999999999995</v>
      </c>
      <c r="H34" s="56">
        <f>_xlfn.XLOOKUP(D34,[2]Sheet1!$A$2:$A$278,[2]Sheet1!$C$2:$C$278,0)</f>
        <v>77</v>
      </c>
      <c r="I34" s="56">
        <f t="shared" si="4"/>
        <v>5.2549999999999955</v>
      </c>
      <c r="J34" s="56" t="str">
        <f t="shared" si="0"/>
        <v/>
      </c>
      <c r="K34" s="56">
        <f t="shared" si="1"/>
        <v>5.2549999999999955</v>
      </c>
      <c r="L34" s="57">
        <f t="shared" si="2"/>
        <v>361754.19999999966</v>
      </c>
      <c r="M34" s="57">
        <f t="shared" si="5"/>
        <v>180877.09999999983</v>
      </c>
      <c r="N34" s="57">
        <f t="shared" si="5"/>
        <v>90438.549999999916</v>
      </c>
      <c r="O34" s="57">
        <f t="shared" si="5"/>
        <v>45219.274999999958</v>
      </c>
    </row>
    <row r="35" spans="4:15" ht="16.5" x14ac:dyDescent="0.2">
      <c r="D35" s="52" t="s">
        <v>163</v>
      </c>
      <c r="E35" s="53" t="s">
        <v>164</v>
      </c>
      <c r="F35" s="58">
        <v>27941</v>
      </c>
      <c r="G35" s="55">
        <f>_xlfn.XLOOKUP(D35,'[1]Inventory Item List'!$A$8:$A$165,'[1]Inventory Item List'!$E$8:$E$165,0)</f>
        <v>1E-4</v>
      </c>
      <c r="H35" s="56">
        <f>_xlfn.XLOOKUP(D35,[2]Sheet1!$A$2:$A$278,[2]Sheet1!$C$2:$C$278,0)</f>
        <v>0</v>
      </c>
      <c r="I35" s="56">
        <f t="shared" si="4"/>
        <v>1E-4</v>
      </c>
      <c r="J35" s="56" t="str">
        <f t="shared" si="0"/>
        <v/>
      </c>
      <c r="K35" s="56">
        <f t="shared" si="1"/>
        <v>1E-4</v>
      </c>
      <c r="L35" s="57">
        <f t="shared" si="2"/>
        <v>2.7941000000000003</v>
      </c>
      <c r="M35" s="57">
        <f t="shared" si="5"/>
        <v>1.3970500000000001</v>
      </c>
      <c r="N35" s="57">
        <f t="shared" si="5"/>
        <v>0.69852500000000006</v>
      </c>
      <c r="O35" s="57">
        <f t="shared" si="5"/>
        <v>0.34926250000000003</v>
      </c>
    </row>
    <row r="36" spans="4:15" ht="16.5" x14ac:dyDescent="0.2">
      <c r="D36" s="52" t="s">
        <v>53</v>
      </c>
      <c r="E36" s="53" t="s">
        <v>165</v>
      </c>
      <c r="F36" s="58">
        <v>48825.43</v>
      </c>
      <c r="G36" s="55">
        <f>_xlfn.XLOOKUP(D36,'[1]Inventory Item List'!$A$8:$A$165,'[1]Inventory Item List'!$E$8:$E$165,0)</f>
        <v>98</v>
      </c>
      <c r="H36" s="56">
        <f>_xlfn.XLOOKUP(D36,[2]Sheet1!$A$2:$A$278,[2]Sheet1!$C$2:$C$278,0)</f>
        <v>90</v>
      </c>
      <c r="I36" s="56">
        <f t="shared" si="4"/>
        <v>8</v>
      </c>
      <c r="J36" s="56" t="str">
        <f t="shared" si="0"/>
        <v/>
      </c>
      <c r="K36" s="56">
        <f t="shared" si="1"/>
        <v>8</v>
      </c>
      <c r="L36" s="57">
        <f t="shared" si="2"/>
        <v>390603.44</v>
      </c>
      <c r="M36" s="57">
        <f t="shared" si="5"/>
        <v>195301.72</v>
      </c>
      <c r="N36" s="57">
        <f t="shared" si="5"/>
        <v>97650.86</v>
      </c>
      <c r="O36" s="57">
        <f t="shared" si="5"/>
        <v>48825.43</v>
      </c>
    </row>
    <row r="37" spans="4:15" ht="16.5" x14ac:dyDescent="0.2">
      <c r="D37" s="52" t="s">
        <v>55</v>
      </c>
      <c r="E37" s="53" t="s">
        <v>56</v>
      </c>
      <c r="F37" s="58">
        <v>57452</v>
      </c>
      <c r="G37" s="55">
        <f>_xlfn.XLOOKUP(D37,'[1]Inventory Item List'!$A$8:$A$165,'[1]Inventory Item List'!$E$8:$E$165,0)</f>
        <v>265.8</v>
      </c>
      <c r="H37" s="56">
        <f>_xlfn.XLOOKUP(D37,[2]Sheet1!$A$2:$A$278,[2]Sheet1!$C$2:$C$278,0)</f>
        <v>276</v>
      </c>
      <c r="I37" s="56" t="str">
        <f t="shared" si="4"/>
        <v/>
      </c>
      <c r="J37" s="56">
        <f t="shared" si="0"/>
        <v>10.199999999999989</v>
      </c>
      <c r="K37" s="56" t="str">
        <f t="shared" si="1"/>
        <v>sell10.2</v>
      </c>
      <c r="L37" s="57">
        <f t="shared" si="2"/>
        <v>0</v>
      </c>
      <c r="M37" s="57">
        <f t="shared" si="5"/>
        <v>0</v>
      </c>
      <c r="N37" s="57">
        <f t="shared" si="5"/>
        <v>0</v>
      </c>
      <c r="O37" s="57">
        <f t="shared" si="5"/>
        <v>0</v>
      </c>
    </row>
    <row r="38" spans="4:15" ht="16.5" x14ac:dyDescent="0.2">
      <c r="D38" s="52" t="s">
        <v>57</v>
      </c>
      <c r="E38" s="60" t="s">
        <v>58</v>
      </c>
      <c r="F38" s="58">
        <v>10886</v>
      </c>
      <c r="G38" s="55">
        <f>_xlfn.XLOOKUP(D38,'[1]Inventory Item List'!$A$8:$A$165,'[1]Inventory Item List'!$E$8:$E$165,0)</f>
        <v>0</v>
      </c>
      <c r="H38" s="56">
        <f>_xlfn.XLOOKUP(D38,[2]Sheet1!$A$2:$A$278,[2]Sheet1!$C$2:$C$278,0)</f>
        <v>0</v>
      </c>
      <c r="I38" s="56" t="str">
        <f t="shared" si="4"/>
        <v/>
      </c>
      <c r="J38" s="56" t="str">
        <f t="shared" si="0"/>
        <v/>
      </c>
      <c r="K38" s="56" t="str">
        <f t="shared" si="1"/>
        <v>bal</v>
      </c>
      <c r="L38" s="57">
        <f t="shared" si="2"/>
        <v>0</v>
      </c>
      <c r="M38" s="57">
        <f t="shared" si="5"/>
        <v>0</v>
      </c>
      <c r="N38" s="57">
        <f t="shared" si="5"/>
        <v>0</v>
      </c>
      <c r="O38" s="57">
        <f t="shared" si="5"/>
        <v>0</v>
      </c>
    </row>
    <row r="39" spans="4:15" ht="16.5" x14ac:dyDescent="0.2">
      <c r="D39" s="52" t="s">
        <v>59</v>
      </c>
      <c r="E39" s="60" t="s">
        <v>166</v>
      </c>
      <c r="F39" s="58">
        <v>50875</v>
      </c>
      <c r="G39" s="55">
        <f>_xlfn.XLOOKUP(D39,'[1]Inventory Item List'!$A$8:$A$165,'[1]Inventory Item List'!$E$8:$E$165,0)</f>
        <v>231.8</v>
      </c>
      <c r="H39" s="56">
        <f>_xlfn.XLOOKUP(D39,[2]Sheet1!$A$2:$A$278,[2]Sheet1!$C$2:$C$278,0)</f>
        <v>160</v>
      </c>
      <c r="I39" s="56">
        <f t="shared" si="4"/>
        <v>71.800000000000011</v>
      </c>
      <c r="J39" s="56" t="str">
        <f t="shared" si="0"/>
        <v/>
      </c>
      <c r="K39" s="56">
        <f t="shared" si="1"/>
        <v>71.800000000000011</v>
      </c>
      <c r="L39" s="57">
        <f t="shared" si="2"/>
        <v>3652825.0000000005</v>
      </c>
      <c r="M39" s="57">
        <f t="shared" si="5"/>
        <v>1826412.5000000002</v>
      </c>
      <c r="N39" s="57">
        <f t="shared" si="5"/>
        <v>913206.25000000012</v>
      </c>
      <c r="O39" s="57">
        <f t="shared" si="5"/>
        <v>456603.12500000006</v>
      </c>
    </row>
    <row r="40" spans="4:15" ht="16.5" x14ac:dyDescent="0.2">
      <c r="D40" s="52" t="s">
        <v>61</v>
      </c>
      <c r="E40" s="60" t="s">
        <v>62</v>
      </c>
      <c r="F40" s="58">
        <v>14403</v>
      </c>
      <c r="G40" s="55">
        <f>_xlfn.XLOOKUP(D40,'[1]Inventory Item List'!$A$8:$A$165,'[1]Inventory Item List'!$E$8:$E$165,0)</f>
        <v>0</v>
      </c>
      <c r="H40" s="56">
        <f>_xlfn.XLOOKUP(D40,[2]Sheet1!$A$2:$A$278,[2]Sheet1!$C$2:$C$278,0)</f>
        <v>0</v>
      </c>
      <c r="I40" s="56" t="str">
        <f t="shared" si="4"/>
        <v/>
      </c>
      <c r="J40" s="56" t="str">
        <f t="shared" si="0"/>
        <v/>
      </c>
      <c r="K40" s="56" t="str">
        <f t="shared" si="1"/>
        <v>bal</v>
      </c>
      <c r="L40" s="57">
        <f t="shared" si="2"/>
        <v>0</v>
      </c>
      <c r="M40" s="57">
        <f t="shared" si="5"/>
        <v>0</v>
      </c>
      <c r="N40" s="57">
        <f t="shared" si="5"/>
        <v>0</v>
      </c>
      <c r="O40" s="57">
        <f t="shared" si="5"/>
        <v>0</v>
      </c>
    </row>
    <row r="41" spans="4:15" ht="16.5" x14ac:dyDescent="0.2">
      <c r="D41" s="52" t="s">
        <v>63</v>
      </c>
      <c r="E41" s="60" t="s">
        <v>64</v>
      </c>
      <c r="F41" s="58">
        <v>45484.324999999997</v>
      </c>
      <c r="G41" s="55">
        <f>_xlfn.XLOOKUP(D41,'[1]Inventory Item List'!$A$8:$A$165,'[1]Inventory Item List'!$E$8:$E$165,0)</f>
        <v>91.5</v>
      </c>
      <c r="H41" s="56">
        <f>_xlfn.XLOOKUP(D41,[2]Sheet1!$A$2:$A$278,[2]Sheet1!$C$2:$C$278,0)</f>
        <v>91</v>
      </c>
      <c r="I41" s="56">
        <f t="shared" si="4"/>
        <v>0.5</v>
      </c>
      <c r="J41" s="56" t="str">
        <f t="shared" si="0"/>
        <v/>
      </c>
      <c r="K41" s="56">
        <f t="shared" si="1"/>
        <v>0.5</v>
      </c>
      <c r="L41" s="57">
        <f t="shared" si="2"/>
        <v>22742.162499999999</v>
      </c>
      <c r="M41" s="57">
        <f t="shared" si="5"/>
        <v>11371.081249999999</v>
      </c>
      <c r="N41" s="57">
        <f t="shared" si="5"/>
        <v>5685.5406249999996</v>
      </c>
      <c r="O41" s="57">
        <f t="shared" si="5"/>
        <v>2842.7703124999998</v>
      </c>
    </row>
    <row r="42" spans="4:15" ht="16.5" x14ac:dyDescent="0.2">
      <c r="D42" s="52" t="s">
        <v>65</v>
      </c>
      <c r="E42" s="60" t="s">
        <v>66</v>
      </c>
      <c r="F42" s="58">
        <v>13093.6</v>
      </c>
      <c r="G42" s="55">
        <f>_xlfn.XLOOKUP(D42,'[1]Inventory Item List'!$A$8:$A$165,'[1]Inventory Item List'!$E$8:$E$165,0)</f>
        <v>297</v>
      </c>
      <c r="H42" s="56">
        <f>_xlfn.XLOOKUP(D42,[2]Sheet1!$A$2:$A$278,[2]Sheet1!$C$2:$C$278,0)</f>
        <v>270</v>
      </c>
      <c r="I42" s="56">
        <f t="shared" si="4"/>
        <v>27</v>
      </c>
      <c r="J42" s="56" t="str">
        <f t="shared" si="0"/>
        <v/>
      </c>
      <c r="K42" s="56">
        <f t="shared" si="1"/>
        <v>27</v>
      </c>
      <c r="L42" s="57">
        <f t="shared" si="2"/>
        <v>353527.2</v>
      </c>
      <c r="M42" s="57">
        <f t="shared" si="5"/>
        <v>176763.6</v>
      </c>
      <c r="N42" s="57">
        <f t="shared" si="5"/>
        <v>88381.8</v>
      </c>
      <c r="O42" s="57">
        <f t="shared" si="5"/>
        <v>44190.9</v>
      </c>
    </row>
    <row r="43" spans="4:15" ht="16.5" x14ac:dyDescent="0.2">
      <c r="D43" s="52" t="s">
        <v>67</v>
      </c>
      <c r="E43" s="60" t="s">
        <v>68</v>
      </c>
      <c r="F43" s="58">
        <v>62500.5</v>
      </c>
      <c r="G43" s="55">
        <f>_xlfn.XLOOKUP(D43,'[1]Inventory Item List'!$A$8:$A$165,'[1]Inventory Item List'!$E$8:$E$165,0)</f>
        <v>242.6</v>
      </c>
      <c r="H43" s="56">
        <f>_xlfn.XLOOKUP(D43,[2]Sheet1!$A$2:$A$278,[2]Sheet1!$C$2:$C$278,0)</f>
        <v>223</v>
      </c>
      <c r="I43" s="56">
        <f t="shared" si="4"/>
        <v>19.599999999999994</v>
      </c>
      <c r="J43" s="56" t="str">
        <f t="shared" si="0"/>
        <v/>
      </c>
      <c r="K43" s="56">
        <f t="shared" si="1"/>
        <v>19.599999999999994</v>
      </c>
      <c r="L43" s="57">
        <f t="shared" si="2"/>
        <v>1225009.7999999996</v>
      </c>
      <c r="M43" s="57">
        <f t="shared" si="5"/>
        <v>612504.89999999979</v>
      </c>
      <c r="N43" s="57">
        <f t="shared" si="5"/>
        <v>306252.4499999999</v>
      </c>
      <c r="O43" s="57">
        <f t="shared" si="5"/>
        <v>153126.22499999995</v>
      </c>
    </row>
    <row r="44" spans="4:15" ht="16.5" x14ac:dyDescent="0.2">
      <c r="D44" s="52" t="s">
        <v>71</v>
      </c>
      <c r="E44" s="60" t="s">
        <v>167</v>
      </c>
      <c r="F44" s="58">
        <v>27941</v>
      </c>
      <c r="G44" s="55">
        <f>_xlfn.XLOOKUP(D44,'[1]Inventory Item List'!$A$8:$A$165,'[1]Inventory Item List'!$E$8:$E$165,0)</f>
        <v>65.583399999999997</v>
      </c>
      <c r="H44" s="56">
        <f>_xlfn.XLOOKUP(D44,[2]Sheet1!$A$2:$A$278,[2]Sheet1!$C$2:$C$278,0)</f>
        <v>95</v>
      </c>
      <c r="I44" s="56" t="str">
        <f t="shared" si="4"/>
        <v/>
      </c>
      <c r="J44" s="56">
        <f t="shared" si="0"/>
        <v>29.416600000000003</v>
      </c>
      <c r="K44" s="56" t="str">
        <f t="shared" si="1"/>
        <v>sell29.4166</v>
      </c>
      <c r="L44" s="57">
        <f t="shared" si="2"/>
        <v>0</v>
      </c>
      <c r="M44" s="57">
        <f t="shared" si="5"/>
        <v>0</v>
      </c>
      <c r="N44" s="57">
        <f t="shared" si="5"/>
        <v>0</v>
      </c>
      <c r="O44" s="57">
        <f t="shared" si="5"/>
        <v>0</v>
      </c>
    </row>
    <row r="45" spans="4:15" ht="16.5" x14ac:dyDescent="0.2">
      <c r="D45" s="52" t="s">
        <v>73</v>
      </c>
      <c r="E45" s="60" t="s">
        <v>74</v>
      </c>
      <c r="F45" s="58">
        <v>32000</v>
      </c>
      <c r="G45" s="55">
        <f>_xlfn.XLOOKUP(D45,'[1]Inventory Item List'!$A$8:$A$165,'[1]Inventory Item List'!$E$8:$E$165,0)</f>
        <v>0</v>
      </c>
      <c r="H45" s="56">
        <f>_xlfn.XLOOKUP(D45,[2]Sheet1!$A$2:$A$278,[2]Sheet1!$C$2:$C$278,0)</f>
        <v>0</v>
      </c>
      <c r="I45" s="56" t="str">
        <f t="shared" si="4"/>
        <v/>
      </c>
      <c r="J45" s="56" t="str">
        <f t="shared" si="0"/>
        <v/>
      </c>
      <c r="K45" s="56" t="str">
        <f t="shared" si="1"/>
        <v>bal</v>
      </c>
      <c r="L45" s="57">
        <f t="shared" si="2"/>
        <v>0</v>
      </c>
      <c r="M45" s="57">
        <f t="shared" si="5"/>
        <v>0</v>
      </c>
      <c r="N45" s="57">
        <f t="shared" si="5"/>
        <v>0</v>
      </c>
      <c r="O45" s="57">
        <f t="shared" si="5"/>
        <v>0</v>
      </c>
    </row>
    <row r="46" spans="4:15" ht="16.5" x14ac:dyDescent="0.2">
      <c r="D46" s="52" t="s">
        <v>168</v>
      </c>
      <c r="E46" s="60" t="s">
        <v>169</v>
      </c>
      <c r="F46" s="58">
        <v>32000</v>
      </c>
      <c r="G46" s="55">
        <f>_xlfn.XLOOKUP(D46,'[1]Inventory Item List'!$A$8:$A$165,'[1]Inventory Item List'!$E$8:$E$165,0)</f>
        <v>0</v>
      </c>
      <c r="H46" s="56">
        <f>_xlfn.XLOOKUP(D46,[2]Sheet1!$A$2:$A$278,[2]Sheet1!$C$2:$C$278,0)</f>
        <v>0</v>
      </c>
      <c r="I46" s="56" t="str">
        <f t="shared" si="4"/>
        <v/>
      </c>
      <c r="J46" s="56" t="str">
        <f t="shared" si="0"/>
        <v/>
      </c>
      <c r="K46" s="56" t="str">
        <f t="shared" si="1"/>
        <v>bal</v>
      </c>
      <c r="L46" s="57">
        <f t="shared" si="2"/>
        <v>0</v>
      </c>
      <c r="M46" s="57">
        <f t="shared" si="5"/>
        <v>0</v>
      </c>
      <c r="N46" s="57">
        <f t="shared" si="5"/>
        <v>0</v>
      </c>
      <c r="O46" s="57">
        <f t="shared" si="5"/>
        <v>0</v>
      </c>
    </row>
    <row r="47" spans="4:15" ht="16.5" x14ac:dyDescent="0.2">
      <c r="D47" s="52" t="s">
        <v>75</v>
      </c>
      <c r="E47" s="60" t="s">
        <v>76</v>
      </c>
      <c r="F47" s="58">
        <v>32000</v>
      </c>
      <c r="G47" s="55">
        <f>_xlfn.XLOOKUP(D47,'[1]Inventory Item List'!$A$8:$A$165,'[1]Inventory Item List'!$E$8:$E$165,0)</f>
        <v>0</v>
      </c>
      <c r="H47" s="56">
        <f>_xlfn.XLOOKUP(D47,[2]Sheet1!$A$2:$A$278,[2]Sheet1!$C$2:$C$278,0)</f>
        <v>0</v>
      </c>
      <c r="I47" s="56" t="str">
        <f t="shared" si="4"/>
        <v/>
      </c>
      <c r="J47" s="56" t="str">
        <f t="shared" si="0"/>
        <v/>
      </c>
      <c r="K47" s="56" t="str">
        <f t="shared" si="1"/>
        <v>bal</v>
      </c>
      <c r="L47" s="57">
        <f t="shared" si="2"/>
        <v>0</v>
      </c>
      <c r="M47" s="57">
        <f t="shared" si="5"/>
        <v>0</v>
      </c>
      <c r="N47" s="57">
        <f t="shared" si="5"/>
        <v>0</v>
      </c>
      <c r="O47" s="57">
        <f t="shared" si="5"/>
        <v>0</v>
      </c>
    </row>
    <row r="48" spans="4:15" ht="16.5" x14ac:dyDescent="0.2">
      <c r="D48" s="52" t="s">
        <v>170</v>
      </c>
      <c r="E48" s="60" t="s">
        <v>171</v>
      </c>
      <c r="F48" s="58">
        <v>30000</v>
      </c>
      <c r="G48" s="55">
        <f>_xlfn.XLOOKUP(D48,'[1]Inventory Item List'!$A$8:$A$165,'[1]Inventory Item List'!$E$8:$E$165,0)</f>
        <v>0</v>
      </c>
      <c r="H48" s="56">
        <f>_xlfn.XLOOKUP(D48,[2]Sheet1!$A$2:$A$278,[2]Sheet1!$C$2:$C$278,0)</f>
        <v>0</v>
      </c>
      <c r="I48" s="56" t="str">
        <f t="shared" si="4"/>
        <v/>
      </c>
      <c r="J48" s="56" t="str">
        <f t="shared" si="0"/>
        <v/>
      </c>
      <c r="K48" s="56" t="str">
        <f t="shared" si="1"/>
        <v>bal</v>
      </c>
      <c r="L48" s="57">
        <f t="shared" si="2"/>
        <v>0</v>
      </c>
      <c r="M48" s="57">
        <f t="shared" si="5"/>
        <v>0</v>
      </c>
      <c r="N48" s="57">
        <f t="shared" si="5"/>
        <v>0</v>
      </c>
      <c r="O48" s="57">
        <f t="shared" si="5"/>
        <v>0</v>
      </c>
    </row>
    <row r="49" spans="4:15" ht="16.5" x14ac:dyDescent="0.2">
      <c r="D49" s="52" t="s">
        <v>172</v>
      </c>
      <c r="E49" s="60" t="s">
        <v>173</v>
      </c>
      <c r="F49" s="58">
        <v>32000</v>
      </c>
      <c r="G49" s="55">
        <f>_xlfn.XLOOKUP(D49,'[1]Inventory Item List'!$A$8:$A$165,'[1]Inventory Item List'!$E$8:$E$165,0)</f>
        <v>0</v>
      </c>
      <c r="H49" s="56">
        <f>_xlfn.XLOOKUP(D49,[2]Sheet1!$A$2:$A$278,[2]Sheet1!$C$2:$C$278,0)</f>
        <v>0</v>
      </c>
      <c r="I49" s="56" t="str">
        <f t="shared" si="4"/>
        <v/>
      </c>
      <c r="J49" s="56" t="str">
        <f t="shared" si="0"/>
        <v/>
      </c>
      <c r="K49" s="56" t="str">
        <f t="shared" si="1"/>
        <v>bal</v>
      </c>
      <c r="L49" s="57">
        <f t="shared" si="2"/>
        <v>0</v>
      </c>
      <c r="M49" s="57">
        <f t="shared" si="5"/>
        <v>0</v>
      </c>
      <c r="N49" s="57">
        <f t="shared" si="5"/>
        <v>0</v>
      </c>
      <c r="O49" s="57">
        <f t="shared" si="5"/>
        <v>0</v>
      </c>
    </row>
    <row r="50" spans="4:15" ht="16.5" x14ac:dyDescent="0.2">
      <c r="D50" s="52" t="s">
        <v>174</v>
      </c>
      <c r="E50" s="60" t="s">
        <v>175</v>
      </c>
      <c r="F50" s="58">
        <v>32000</v>
      </c>
      <c r="G50" s="55">
        <f>_xlfn.XLOOKUP(D50,'[1]Inventory Item List'!$A$8:$A$165,'[1]Inventory Item List'!$E$8:$E$165,0)</f>
        <v>0</v>
      </c>
      <c r="H50" s="56">
        <f>_xlfn.XLOOKUP(D50,[2]Sheet1!$A$2:$A$278,[2]Sheet1!$C$2:$C$278,0)</f>
        <v>0</v>
      </c>
      <c r="I50" s="56" t="str">
        <f t="shared" si="4"/>
        <v/>
      </c>
      <c r="J50" s="56" t="str">
        <f t="shared" si="0"/>
        <v/>
      </c>
      <c r="K50" s="56" t="str">
        <f t="shared" si="1"/>
        <v>bal</v>
      </c>
      <c r="L50" s="57">
        <f t="shared" si="2"/>
        <v>0</v>
      </c>
      <c r="M50" s="57">
        <f t="shared" si="5"/>
        <v>0</v>
      </c>
      <c r="N50" s="57">
        <f t="shared" si="5"/>
        <v>0</v>
      </c>
      <c r="O50" s="57">
        <f t="shared" si="5"/>
        <v>0</v>
      </c>
    </row>
    <row r="51" spans="4:15" ht="16.5" x14ac:dyDescent="0.2">
      <c r="D51" s="52" t="s">
        <v>176</v>
      </c>
      <c r="E51" s="60" t="s">
        <v>177</v>
      </c>
      <c r="F51" s="58">
        <v>35500</v>
      </c>
      <c r="G51" s="55">
        <f>_xlfn.XLOOKUP(D51,'[1]Inventory Item List'!$A$8:$A$165,'[1]Inventory Item List'!$E$8:$E$165,0)</f>
        <v>0</v>
      </c>
      <c r="H51" s="56">
        <f>_xlfn.XLOOKUP(D51,[2]Sheet1!$A$2:$A$278,[2]Sheet1!$C$2:$C$278,0)</f>
        <v>0</v>
      </c>
      <c r="I51" s="56" t="str">
        <f t="shared" si="4"/>
        <v/>
      </c>
      <c r="J51" s="56" t="str">
        <f t="shared" si="0"/>
        <v/>
      </c>
      <c r="K51" s="56" t="str">
        <f t="shared" si="1"/>
        <v>bal</v>
      </c>
      <c r="L51" s="57">
        <f t="shared" si="2"/>
        <v>0</v>
      </c>
      <c r="M51" s="57">
        <f t="shared" si="5"/>
        <v>0</v>
      </c>
      <c r="N51" s="57">
        <f t="shared" si="5"/>
        <v>0</v>
      </c>
      <c r="O51" s="57">
        <f t="shared" si="5"/>
        <v>0</v>
      </c>
    </row>
    <row r="52" spans="4:15" ht="16.5" x14ac:dyDescent="0.2">
      <c r="D52" s="52" t="s">
        <v>178</v>
      </c>
      <c r="E52" s="60" t="s">
        <v>179</v>
      </c>
      <c r="F52" s="58">
        <v>30000</v>
      </c>
      <c r="G52" s="55">
        <f>_xlfn.XLOOKUP(D52,'[1]Inventory Item List'!$A$8:$A$165,'[1]Inventory Item List'!$E$8:$E$165,0)</f>
        <v>0</v>
      </c>
      <c r="H52" s="56">
        <f>_xlfn.XLOOKUP(D52,[2]Sheet1!$A$2:$A$278,[2]Sheet1!$C$2:$C$278,0)</f>
        <v>0</v>
      </c>
      <c r="I52" s="56" t="str">
        <f t="shared" si="4"/>
        <v/>
      </c>
      <c r="J52" s="56" t="str">
        <f t="shared" si="0"/>
        <v/>
      </c>
      <c r="K52" s="56" t="str">
        <f t="shared" si="1"/>
        <v>bal</v>
      </c>
      <c r="L52" s="57">
        <f t="shared" si="2"/>
        <v>0</v>
      </c>
      <c r="M52" s="57">
        <f t="shared" si="5"/>
        <v>0</v>
      </c>
      <c r="N52" s="57">
        <f t="shared" si="5"/>
        <v>0</v>
      </c>
      <c r="O52" s="57">
        <f t="shared" si="5"/>
        <v>0</v>
      </c>
    </row>
    <row r="53" spans="4:15" ht="16.5" x14ac:dyDescent="0.2">
      <c r="D53" s="52" t="s">
        <v>180</v>
      </c>
      <c r="E53" s="60" t="s">
        <v>181</v>
      </c>
      <c r="F53" s="58">
        <v>32000</v>
      </c>
      <c r="G53" s="55">
        <f>_xlfn.XLOOKUP(D53,'[1]Inventory Item List'!$A$8:$A$165,'[1]Inventory Item List'!$E$8:$E$165,0)</f>
        <v>0</v>
      </c>
      <c r="H53" s="56">
        <f>_xlfn.XLOOKUP(D53,[2]Sheet1!$A$2:$A$278,[2]Sheet1!$C$2:$C$278,0)</f>
        <v>0</v>
      </c>
      <c r="I53" s="56" t="str">
        <f t="shared" si="4"/>
        <v/>
      </c>
      <c r="J53" s="56" t="str">
        <f t="shared" si="0"/>
        <v/>
      </c>
      <c r="K53" s="56" t="str">
        <f t="shared" si="1"/>
        <v>bal</v>
      </c>
      <c r="L53" s="57">
        <f t="shared" si="2"/>
        <v>0</v>
      </c>
      <c r="M53" s="57">
        <f t="shared" si="5"/>
        <v>0</v>
      </c>
      <c r="N53" s="57">
        <f t="shared" si="5"/>
        <v>0</v>
      </c>
      <c r="O53" s="57">
        <f t="shared" si="5"/>
        <v>0</v>
      </c>
    </row>
    <row r="54" spans="4:15" ht="16.5" x14ac:dyDescent="0.2">
      <c r="D54" s="52" t="s">
        <v>182</v>
      </c>
      <c r="E54" s="60" t="s">
        <v>183</v>
      </c>
      <c r="F54" s="58">
        <v>30000</v>
      </c>
      <c r="G54" s="55">
        <f>_xlfn.XLOOKUP(D54,'[1]Inventory Item List'!$A$8:$A$165,'[1]Inventory Item List'!$E$8:$E$165,0)</f>
        <v>0</v>
      </c>
      <c r="H54" s="56">
        <f>_xlfn.XLOOKUP(D54,[2]Sheet1!$A$2:$A$278,[2]Sheet1!$C$2:$C$278,0)</f>
        <v>0</v>
      </c>
      <c r="I54" s="56" t="str">
        <f t="shared" si="4"/>
        <v/>
      </c>
      <c r="J54" s="56" t="str">
        <f t="shared" si="0"/>
        <v/>
      </c>
      <c r="K54" s="56" t="str">
        <f t="shared" si="1"/>
        <v>bal</v>
      </c>
      <c r="L54" s="57">
        <f t="shared" si="2"/>
        <v>0</v>
      </c>
      <c r="M54" s="57">
        <f t="shared" si="5"/>
        <v>0</v>
      </c>
      <c r="N54" s="57">
        <f t="shared" si="5"/>
        <v>0</v>
      </c>
      <c r="O54" s="57">
        <f t="shared" si="5"/>
        <v>0</v>
      </c>
    </row>
    <row r="55" spans="4:15" ht="16.5" x14ac:dyDescent="0.2">
      <c r="D55" s="52" t="s">
        <v>184</v>
      </c>
      <c r="E55" s="60" t="s">
        <v>185</v>
      </c>
      <c r="F55" s="58">
        <v>30000</v>
      </c>
      <c r="G55" s="55">
        <f>_xlfn.XLOOKUP(D55,'[1]Inventory Item List'!$A$8:$A$165,'[1]Inventory Item List'!$E$8:$E$165,0)</f>
        <v>0</v>
      </c>
      <c r="H55" s="56">
        <f>_xlfn.XLOOKUP(D55,[2]Sheet1!$A$2:$A$278,[2]Sheet1!$C$2:$C$278,0)</f>
        <v>0</v>
      </c>
      <c r="I55" s="56" t="str">
        <f t="shared" si="4"/>
        <v/>
      </c>
      <c r="J55" s="56" t="str">
        <f t="shared" si="0"/>
        <v/>
      </c>
      <c r="K55" s="56" t="str">
        <f t="shared" si="1"/>
        <v>bal</v>
      </c>
      <c r="L55" s="57">
        <f t="shared" si="2"/>
        <v>0</v>
      </c>
      <c r="M55" s="57">
        <f t="shared" si="5"/>
        <v>0</v>
      </c>
      <c r="N55" s="57">
        <f t="shared" si="5"/>
        <v>0</v>
      </c>
      <c r="O55" s="57">
        <f t="shared" si="5"/>
        <v>0</v>
      </c>
    </row>
    <row r="56" spans="4:15" ht="16.5" x14ac:dyDescent="0.2">
      <c r="D56" s="52" t="s">
        <v>186</v>
      </c>
      <c r="E56" s="60" t="s">
        <v>187</v>
      </c>
      <c r="F56" s="58">
        <v>32000</v>
      </c>
      <c r="G56" s="55">
        <f>_xlfn.XLOOKUP(D56,'[1]Inventory Item List'!$A$8:$A$165,'[1]Inventory Item List'!$E$8:$E$165,0)</f>
        <v>0</v>
      </c>
      <c r="H56" s="56">
        <f>_xlfn.XLOOKUP(D56,[2]Sheet1!$A$2:$A$278,[2]Sheet1!$C$2:$C$278,0)</f>
        <v>0</v>
      </c>
      <c r="I56" s="56" t="str">
        <f t="shared" si="4"/>
        <v/>
      </c>
      <c r="J56" s="56" t="str">
        <f t="shared" si="0"/>
        <v/>
      </c>
      <c r="K56" s="56" t="str">
        <f t="shared" si="1"/>
        <v>bal</v>
      </c>
      <c r="L56" s="57">
        <f t="shared" si="2"/>
        <v>0</v>
      </c>
      <c r="M56" s="57">
        <f t="shared" si="5"/>
        <v>0</v>
      </c>
      <c r="N56" s="57">
        <f t="shared" si="5"/>
        <v>0</v>
      </c>
      <c r="O56" s="57">
        <f t="shared" si="5"/>
        <v>0</v>
      </c>
    </row>
    <row r="57" spans="4:15" ht="16.5" x14ac:dyDescent="0.2">
      <c r="D57" s="52" t="s">
        <v>188</v>
      </c>
      <c r="E57" s="60" t="s">
        <v>189</v>
      </c>
      <c r="F57" s="58">
        <v>30000</v>
      </c>
      <c r="G57" s="55">
        <f>_xlfn.XLOOKUP(D57,'[1]Inventory Item List'!$A$8:$A$165,'[1]Inventory Item List'!$E$8:$E$165,0)</f>
        <v>0</v>
      </c>
      <c r="H57" s="56">
        <f>_xlfn.XLOOKUP(D57,[2]Sheet1!$A$2:$A$278,[2]Sheet1!$C$2:$C$278,0)</f>
        <v>0</v>
      </c>
      <c r="I57" s="56" t="str">
        <f t="shared" si="4"/>
        <v/>
      </c>
      <c r="J57" s="56" t="str">
        <f t="shared" si="0"/>
        <v/>
      </c>
      <c r="K57" s="56" t="str">
        <f t="shared" si="1"/>
        <v>bal</v>
      </c>
      <c r="L57" s="57">
        <f t="shared" si="2"/>
        <v>0</v>
      </c>
      <c r="M57" s="57">
        <f t="shared" si="5"/>
        <v>0</v>
      </c>
      <c r="N57" s="57">
        <f t="shared" si="5"/>
        <v>0</v>
      </c>
      <c r="O57" s="57">
        <f t="shared" si="5"/>
        <v>0</v>
      </c>
    </row>
    <row r="58" spans="4:15" ht="16.5" x14ac:dyDescent="0.2">
      <c r="D58" s="52" t="s">
        <v>190</v>
      </c>
      <c r="E58" s="60" t="s">
        <v>191</v>
      </c>
      <c r="F58" s="58">
        <v>32000</v>
      </c>
      <c r="G58" s="55">
        <f>_xlfn.XLOOKUP(D58,'[1]Inventory Item List'!$A$8:$A$165,'[1]Inventory Item List'!$E$8:$E$165,0)</f>
        <v>0</v>
      </c>
      <c r="H58" s="56">
        <f>_xlfn.XLOOKUP(D58,[2]Sheet1!$A$2:$A$278,[2]Sheet1!$C$2:$C$278,0)</f>
        <v>0</v>
      </c>
      <c r="I58" s="56" t="str">
        <f t="shared" si="4"/>
        <v/>
      </c>
      <c r="J58" s="56" t="str">
        <f t="shared" si="0"/>
        <v/>
      </c>
      <c r="K58" s="56" t="str">
        <f t="shared" si="1"/>
        <v>bal</v>
      </c>
      <c r="L58" s="57">
        <f t="shared" si="2"/>
        <v>0</v>
      </c>
      <c r="M58" s="57">
        <f t="shared" si="5"/>
        <v>0</v>
      </c>
      <c r="N58" s="57">
        <f t="shared" si="5"/>
        <v>0</v>
      </c>
      <c r="O58" s="57">
        <f t="shared" si="5"/>
        <v>0</v>
      </c>
    </row>
    <row r="59" spans="4:15" ht="16.5" x14ac:dyDescent="0.2">
      <c r="D59" s="52" t="s">
        <v>192</v>
      </c>
      <c r="E59" s="60" t="s">
        <v>193</v>
      </c>
      <c r="F59" s="58">
        <v>30000</v>
      </c>
      <c r="G59" s="55">
        <f>_xlfn.XLOOKUP(D59,'[1]Inventory Item List'!$A$8:$A$165,'[1]Inventory Item List'!$E$8:$E$165,0)</f>
        <v>0</v>
      </c>
      <c r="H59" s="56">
        <f>_xlfn.XLOOKUP(D59,[2]Sheet1!$A$2:$A$278,[2]Sheet1!$C$2:$C$278,0)</f>
        <v>0</v>
      </c>
      <c r="I59" s="56" t="str">
        <f t="shared" si="4"/>
        <v/>
      </c>
      <c r="J59" s="56" t="str">
        <f t="shared" si="0"/>
        <v/>
      </c>
      <c r="K59" s="56" t="str">
        <f t="shared" si="1"/>
        <v>bal</v>
      </c>
      <c r="L59" s="57">
        <f t="shared" si="2"/>
        <v>0</v>
      </c>
      <c r="M59" s="57">
        <f t="shared" si="5"/>
        <v>0</v>
      </c>
      <c r="N59" s="57">
        <f t="shared" si="5"/>
        <v>0</v>
      </c>
      <c r="O59" s="57">
        <f t="shared" si="5"/>
        <v>0</v>
      </c>
    </row>
    <row r="60" spans="4:15" ht="16.5" x14ac:dyDescent="0.2">
      <c r="D60" s="52" t="s">
        <v>194</v>
      </c>
      <c r="E60" s="60" t="s">
        <v>195</v>
      </c>
      <c r="F60" s="58">
        <v>32000</v>
      </c>
      <c r="G60" s="55">
        <f>_xlfn.XLOOKUP(D60,'[1]Inventory Item List'!$A$8:$A$165,'[1]Inventory Item List'!$E$8:$E$165,0)</f>
        <v>0</v>
      </c>
      <c r="H60" s="56">
        <f>_xlfn.XLOOKUP(D60,[2]Sheet1!$A$2:$A$278,[2]Sheet1!$C$2:$C$278,0)</f>
        <v>0</v>
      </c>
      <c r="I60" s="56" t="str">
        <f t="shared" si="4"/>
        <v/>
      </c>
      <c r="J60" s="56" t="str">
        <f t="shared" si="0"/>
        <v/>
      </c>
      <c r="K60" s="56" t="str">
        <f t="shared" si="1"/>
        <v>bal</v>
      </c>
      <c r="L60" s="57">
        <f t="shared" si="2"/>
        <v>0</v>
      </c>
      <c r="M60" s="57">
        <f t="shared" si="5"/>
        <v>0</v>
      </c>
      <c r="N60" s="57">
        <f t="shared" si="5"/>
        <v>0</v>
      </c>
      <c r="O60" s="57">
        <f t="shared" si="5"/>
        <v>0</v>
      </c>
    </row>
    <row r="61" spans="4:15" ht="16.5" x14ac:dyDescent="0.2">
      <c r="D61" s="52" t="s">
        <v>77</v>
      </c>
      <c r="E61" s="60" t="s">
        <v>78</v>
      </c>
      <c r="F61" s="58">
        <v>31800</v>
      </c>
      <c r="G61" s="55">
        <f>_xlfn.XLOOKUP(D61,'[1]Inventory Item List'!$A$8:$A$165,'[1]Inventory Item List'!$E$8:$E$165,0)</f>
        <v>18.25</v>
      </c>
      <c r="H61" s="56">
        <f>_xlfn.XLOOKUP(D61,[2]Sheet1!$A$2:$A$278,[2]Sheet1!$C$2:$C$278,0)</f>
        <v>23</v>
      </c>
      <c r="I61" s="56" t="str">
        <f t="shared" si="4"/>
        <v/>
      </c>
      <c r="J61" s="56">
        <f t="shared" si="0"/>
        <v>4.75</v>
      </c>
      <c r="K61" s="56" t="str">
        <f t="shared" si="1"/>
        <v>sell4.75</v>
      </c>
      <c r="L61" s="57">
        <f t="shared" si="2"/>
        <v>0</v>
      </c>
      <c r="M61" s="57">
        <f t="shared" si="5"/>
        <v>0</v>
      </c>
      <c r="N61" s="57">
        <f t="shared" si="5"/>
        <v>0</v>
      </c>
      <c r="O61" s="57">
        <f t="shared" si="5"/>
        <v>0</v>
      </c>
    </row>
    <row r="62" spans="4:15" ht="16.5" x14ac:dyDescent="0.2">
      <c r="D62" s="52" t="s">
        <v>196</v>
      </c>
      <c r="E62" s="60" t="s">
        <v>197</v>
      </c>
      <c r="F62" s="58">
        <v>30000</v>
      </c>
      <c r="G62" s="55">
        <f>_xlfn.XLOOKUP(D62,'[1]Inventory Item List'!$A$8:$A$165,'[1]Inventory Item List'!$E$8:$E$165,0)</f>
        <v>0</v>
      </c>
      <c r="H62" s="56">
        <f>_xlfn.XLOOKUP(D62,[2]Sheet1!$A$2:$A$278,[2]Sheet1!$C$2:$C$278,0)</f>
        <v>0</v>
      </c>
      <c r="I62" s="56" t="str">
        <f t="shared" si="4"/>
        <v/>
      </c>
      <c r="J62" s="56" t="str">
        <f t="shared" si="0"/>
        <v/>
      </c>
      <c r="K62" s="56" t="str">
        <f t="shared" si="1"/>
        <v>bal</v>
      </c>
      <c r="L62" s="57">
        <f t="shared" si="2"/>
        <v>0</v>
      </c>
      <c r="M62" s="57">
        <f t="shared" si="5"/>
        <v>0</v>
      </c>
      <c r="N62" s="57">
        <f t="shared" si="5"/>
        <v>0</v>
      </c>
      <c r="O62" s="57">
        <f t="shared" si="5"/>
        <v>0</v>
      </c>
    </row>
    <row r="63" spans="4:15" ht="16.5" x14ac:dyDescent="0.2">
      <c r="D63" s="52" t="s">
        <v>81</v>
      </c>
      <c r="E63" s="60" t="s">
        <v>82</v>
      </c>
      <c r="F63" s="58">
        <v>31800</v>
      </c>
      <c r="G63" s="55">
        <f>_xlfn.XLOOKUP(D63,'[1]Inventory Item List'!$A$8:$A$165,'[1]Inventory Item List'!$E$8:$E$165,0)</f>
        <v>50</v>
      </c>
      <c r="H63" s="56">
        <f>_xlfn.XLOOKUP(D63,[2]Sheet1!$A$2:$A$278,[2]Sheet1!$C$2:$C$278,0)</f>
        <v>41</v>
      </c>
      <c r="I63" s="56">
        <f t="shared" si="4"/>
        <v>9</v>
      </c>
      <c r="J63" s="56" t="str">
        <f t="shared" si="0"/>
        <v/>
      </c>
      <c r="K63" s="56">
        <f t="shared" si="1"/>
        <v>9</v>
      </c>
      <c r="L63" s="57">
        <f t="shared" si="2"/>
        <v>286200</v>
      </c>
      <c r="M63" s="57">
        <f t="shared" si="5"/>
        <v>143100</v>
      </c>
      <c r="N63" s="57">
        <f t="shared" si="5"/>
        <v>71550</v>
      </c>
      <c r="O63" s="57">
        <f t="shared" si="5"/>
        <v>35775</v>
      </c>
    </row>
    <row r="64" spans="4:15" ht="16.5" x14ac:dyDescent="0.2">
      <c r="D64" s="52" t="s">
        <v>83</v>
      </c>
      <c r="E64" s="60" t="s">
        <v>84</v>
      </c>
      <c r="F64" s="58">
        <v>31800</v>
      </c>
      <c r="G64" s="55">
        <f>_xlfn.XLOOKUP(D64,'[1]Inventory Item List'!$A$8:$A$165,'[1]Inventory Item List'!$E$8:$E$165,0)</f>
        <v>31</v>
      </c>
      <c r="H64" s="56">
        <f>_xlfn.XLOOKUP(D64,[2]Sheet1!$A$2:$A$278,[2]Sheet1!$C$2:$C$278,0)</f>
        <v>32</v>
      </c>
      <c r="I64" s="56" t="str">
        <f t="shared" si="4"/>
        <v/>
      </c>
      <c r="J64" s="56">
        <f t="shared" si="0"/>
        <v>1</v>
      </c>
      <c r="K64" s="56" t="str">
        <f t="shared" si="1"/>
        <v>sell1</v>
      </c>
      <c r="L64" s="57">
        <f t="shared" si="2"/>
        <v>0</v>
      </c>
      <c r="M64" s="57">
        <f t="shared" si="5"/>
        <v>0</v>
      </c>
      <c r="N64" s="57">
        <f t="shared" si="5"/>
        <v>0</v>
      </c>
      <c r="O64" s="57">
        <f t="shared" si="5"/>
        <v>0</v>
      </c>
    </row>
    <row r="65" spans="4:15" ht="16.5" x14ac:dyDescent="0.2">
      <c r="D65" s="52" t="s">
        <v>85</v>
      </c>
      <c r="E65" s="60" t="s">
        <v>86</v>
      </c>
      <c r="F65" s="58">
        <v>31800</v>
      </c>
      <c r="G65" s="55">
        <f>_xlfn.XLOOKUP(D65,'[1]Inventory Item List'!$A$8:$A$165,'[1]Inventory Item List'!$E$8:$E$165,0)</f>
        <v>42.5017</v>
      </c>
      <c r="H65" s="56">
        <f>_xlfn.XLOOKUP(D65,[2]Sheet1!$A$2:$A$278,[2]Sheet1!$C$2:$C$278,0)</f>
        <v>60</v>
      </c>
      <c r="I65" s="56" t="str">
        <f t="shared" si="4"/>
        <v/>
      </c>
      <c r="J65" s="56">
        <f t="shared" si="0"/>
        <v>17.4983</v>
      </c>
      <c r="K65" s="56" t="str">
        <f t="shared" si="1"/>
        <v>sell17.4983</v>
      </c>
      <c r="L65" s="57">
        <f t="shared" si="2"/>
        <v>0</v>
      </c>
      <c r="M65" s="57">
        <f t="shared" si="5"/>
        <v>0</v>
      </c>
      <c r="N65" s="57">
        <f t="shared" si="5"/>
        <v>0</v>
      </c>
      <c r="O65" s="57">
        <f t="shared" si="5"/>
        <v>0</v>
      </c>
    </row>
    <row r="66" spans="4:15" ht="16.5" x14ac:dyDescent="0.2">
      <c r="D66" s="52" t="s">
        <v>87</v>
      </c>
      <c r="E66" s="60" t="s">
        <v>88</v>
      </c>
      <c r="F66" s="58">
        <v>31800</v>
      </c>
      <c r="G66" s="55">
        <f>_xlfn.XLOOKUP(D66,'[1]Inventory Item List'!$A$8:$A$165,'[1]Inventory Item List'!$E$8:$E$165,0)</f>
        <v>41.5</v>
      </c>
      <c r="H66" s="56">
        <f>_xlfn.XLOOKUP(D66,[2]Sheet1!$A$2:$A$278,[2]Sheet1!$C$2:$C$278,0)</f>
        <v>69</v>
      </c>
      <c r="I66" s="56" t="str">
        <f t="shared" si="4"/>
        <v/>
      </c>
      <c r="J66" s="56">
        <f t="shared" si="0"/>
        <v>27.5</v>
      </c>
      <c r="K66" s="56" t="str">
        <f t="shared" si="1"/>
        <v>sell27.5</v>
      </c>
      <c r="L66" s="57">
        <f t="shared" si="2"/>
        <v>0</v>
      </c>
      <c r="M66" s="57">
        <f t="shared" si="5"/>
        <v>0</v>
      </c>
      <c r="N66" s="57">
        <f t="shared" si="5"/>
        <v>0</v>
      </c>
      <c r="O66" s="57">
        <f t="shared" si="5"/>
        <v>0</v>
      </c>
    </row>
    <row r="67" spans="4:15" ht="16.5" x14ac:dyDescent="0.2">
      <c r="D67" s="52" t="s">
        <v>89</v>
      </c>
      <c r="E67" s="60" t="s">
        <v>90</v>
      </c>
      <c r="F67" s="58">
        <v>31800</v>
      </c>
      <c r="G67" s="55">
        <f>_xlfn.XLOOKUP(D67,'[1]Inventory Item List'!$A$8:$A$165,'[1]Inventory Item List'!$E$8:$E$165,0)</f>
        <v>0</v>
      </c>
      <c r="H67" s="56">
        <f>_xlfn.XLOOKUP(D67,[2]Sheet1!$A$2:$A$278,[2]Sheet1!$C$2:$C$278,0)</f>
        <v>0</v>
      </c>
      <c r="I67" s="56" t="str">
        <f t="shared" si="4"/>
        <v/>
      </c>
      <c r="J67" s="56" t="str">
        <f t="shared" si="0"/>
        <v/>
      </c>
      <c r="K67" s="56" t="str">
        <f t="shared" si="1"/>
        <v>bal</v>
      </c>
      <c r="L67" s="57">
        <f t="shared" si="2"/>
        <v>0</v>
      </c>
      <c r="M67" s="57">
        <f t="shared" si="5"/>
        <v>0</v>
      </c>
      <c r="N67" s="57">
        <f t="shared" si="5"/>
        <v>0</v>
      </c>
      <c r="O67" s="57">
        <f t="shared" si="5"/>
        <v>0</v>
      </c>
    </row>
    <row r="68" spans="4:15" ht="16.5" x14ac:dyDescent="0.2">
      <c r="D68" s="52" t="s">
        <v>93</v>
      </c>
      <c r="E68" s="60" t="s">
        <v>94</v>
      </c>
      <c r="F68" s="58">
        <v>31800</v>
      </c>
      <c r="G68" s="55">
        <f>_xlfn.XLOOKUP(D68,'[1]Inventory Item List'!$A$8:$A$165,'[1]Inventory Item List'!$E$8:$E$165,0)</f>
        <v>0</v>
      </c>
      <c r="H68" s="56">
        <f>_xlfn.XLOOKUP(D68,[2]Sheet1!$A$2:$A$278,[2]Sheet1!$C$2:$C$278,0)</f>
        <v>0</v>
      </c>
      <c r="I68" s="56" t="str">
        <f t="shared" si="4"/>
        <v/>
      </c>
      <c r="J68" s="56" t="str">
        <f t="shared" ref="J68:J85" si="6">IF(G68&gt;=H68,"",H68-G68)</f>
        <v/>
      </c>
      <c r="K68" s="56" t="str">
        <f t="shared" ref="K68:K85" si="7">IF(G68&gt;H68,G68-H68,IF(H68&gt;G68,"sell" &amp; H68-G68, "bal"))</f>
        <v>bal</v>
      </c>
      <c r="L68" s="57">
        <f t="shared" ref="L68:L85" si="8">IF(G68&gt;H68,(G68-H68)*F68,0)</f>
        <v>0</v>
      </c>
      <c r="M68" s="57">
        <f t="shared" si="5"/>
        <v>0</v>
      </c>
      <c r="N68" s="57">
        <f t="shared" si="5"/>
        <v>0</v>
      </c>
      <c r="O68" s="57">
        <f t="shared" si="5"/>
        <v>0</v>
      </c>
    </row>
    <row r="69" spans="4:15" ht="16.5" x14ac:dyDescent="0.2">
      <c r="D69" s="52" t="s">
        <v>198</v>
      </c>
      <c r="E69" s="60" t="s">
        <v>199</v>
      </c>
      <c r="F69" s="58">
        <v>30818.77</v>
      </c>
      <c r="G69" s="55">
        <f>_xlfn.XLOOKUP(D69,'[1]Inventory Item List'!$A$8:$A$165,'[1]Inventory Item List'!$E$8:$E$165,0)</f>
        <v>27</v>
      </c>
      <c r="H69" s="56">
        <f>_xlfn.XLOOKUP(D69,[2]Sheet1!$A$2:$A$278,[2]Sheet1!$C$2:$C$278,0)</f>
        <v>25</v>
      </c>
      <c r="I69" s="56">
        <f t="shared" ref="I69:I85" si="9">IF(H69&gt;=G69,"",G69-H69)</f>
        <v>2</v>
      </c>
      <c r="J69" s="56" t="str">
        <f t="shared" si="6"/>
        <v/>
      </c>
      <c r="K69" s="56">
        <f t="shared" si="7"/>
        <v>2</v>
      </c>
      <c r="L69" s="57">
        <f t="shared" si="8"/>
        <v>61637.54</v>
      </c>
      <c r="M69" s="57">
        <f t="shared" ref="M69:O85" si="10">L69/2</f>
        <v>30818.77</v>
      </c>
      <c r="N69" s="57">
        <f t="shared" si="10"/>
        <v>15409.385</v>
      </c>
      <c r="O69" s="57">
        <f t="shared" si="10"/>
        <v>7704.6925000000001</v>
      </c>
    </row>
    <row r="70" spans="4:15" ht="16.5" x14ac:dyDescent="0.2">
      <c r="D70" s="52" t="s">
        <v>91</v>
      </c>
      <c r="E70" s="60" t="s">
        <v>92</v>
      </c>
      <c r="F70" s="58">
        <v>26217.23</v>
      </c>
      <c r="G70" s="55">
        <f>_xlfn.XLOOKUP(D70,'[1]Inventory Item List'!$A$8:$A$165,'[1]Inventory Item List'!$E$8:$E$165,0)</f>
        <v>90</v>
      </c>
      <c r="H70" s="56">
        <f>_xlfn.XLOOKUP(D70,[2]Sheet1!$A$2:$A$278,[2]Sheet1!$C$2:$C$278,0)</f>
        <v>92</v>
      </c>
      <c r="I70" s="56" t="str">
        <f t="shared" si="9"/>
        <v/>
      </c>
      <c r="J70" s="56">
        <f t="shared" si="6"/>
        <v>2</v>
      </c>
      <c r="K70" s="56" t="str">
        <f t="shared" si="7"/>
        <v>sell2</v>
      </c>
      <c r="L70" s="57">
        <f t="shared" si="8"/>
        <v>0</v>
      </c>
      <c r="M70" s="57">
        <f t="shared" si="10"/>
        <v>0</v>
      </c>
      <c r="N70" s="57">
        <f t="shared" si="10"/>
        <v>0</v>
      </c>
      <c r="O70" s="57">
        <f t="shared" si="10"/>
        <v>0</v>
      </c>
    </row>
    <row r="71" spans="4:15" ht="16.5" x14ac:dyDescent="0.2">
      <c r="D71" s="52" t="s">
        <v>200</v>
      </c>
      <c r="E71" s="60" t="s">
        <v>201</v>
      </c>
      <c r="F71" s="58">
        <v>13508.9</v>
      </c>
      <c r="G71" s="55">
        <f>_xlfn.XLOOKUP(D71,'[1]Inventory Item List'!$A$8:$A$165,'[1]Inventory Item List'!$E$8:$E$165,0)</f>
        <v>0</v>
      </c>
      <c r="H71" s="56">
        <f>_xlfn.XLOOKUP(D71,[2]Sheet1!$A$2:$A$278,[2]Sheet1!$C$2:$C$278,0)</f>
        <v>0</v>
      </c>
      <c r="I71" s="56" t="str">
        <f t="shared" si="9"/>
        <v/>
      </c>
      <c r="J71" s="56" t="str">
        <f t="shared" si="6"/>
        <v/>
      </c>
      <c r="K71" s="56" t="str">
        <f t="shared" si="7"/>
        <v>bal</v>
      </c>
      <c r="L71" s="57">
        <f t="shared" si="8"/>
        <v>0</v>
      </c>
      <c r="M71" s="57">
        <f t="shared" si="10"/>
        <v>0</v>
      </c>
      <c r="N71" s="57"/>
      <c r="O71" s="57"/>
    </row>
    <row r="72" spans="4:15" ht="16.5" x14ac:dyDescent="0.2">
      <c r="D72" s="52" t="s">
        <v>202</v>
      </c>
      <c r="E72" s="60" t="s">
        <v>203</v>
      </c>
      <c r="F72" s="58">
        <v>157500</v>
      </c>
      <c r="G72" s="55">
        <f>_xlfn.XLOOKUP(D72,'[1]Inventory Item List'!$A$8:$A$165,'[1]Inventory Item List'!$E$8:$E$165,0)</f>
        <v>5</v>
      </c>
      <c r="H72" s="56">
        <f>_xlfn.XLOOKUP(D72,[2]Sheet1!$A$2:$A$278,[2]Sheet1!$C$2:$C$278,0)</f>
        <v>8</v>
      </c>
      <c r="I72" s="56" t="str">
        <f t="shared" si="9"/>
        <v/>
      </c>
      <c r="J72" s="56">
        <f t="shared" si="6"/>
        <v>3</v>
      </c>
      <c r="K72" s="56" t="str">
        <f t="shared" si="7"/>
        <v>sell3</v>
      </c>
      <c r="L72" s="57">
        <f t="shared" si="8"/>
        <v>0</v>
      </c>
      <c r="M72" s="57">
        <f t="shared" si="10"/>
        <v>0</v>
      </c>
      <c r="N72" s="57"/>
      <c r="O72" s="57"/>
    </row>
    <row r="73" spans="4:15" ht="16.5" x14ac:dyDescent="0.2">
      <c r="D73" s="52" t="s">
        <v>204</v>
      </c>
      <c r="E73" s="60" t="s">
        <v>205</v>
      </c>
      <c r="F73" s="58">
        <v>72621</v>
      </c>
      <c r="G73" s="55">
        <f>_xlfn.XLOOKUP(D73,'[1]Inventory Item List'!$A$8:$A$165,'[1]Inventory Item List'!$E$8:$E$165,0)</f>
        <v>75.666700000000006</v>
      </c>
      <c r="H73" s="56">
        <f>_xlfn.XLOOKUP(D73,[2]Sheet1!$A$2:$A$278,[2]Sheet1!$C$2:$C$278,0)</f>
        <v>73</v>
      </c>
      <c r="I73" s="56">
        <f t="shared" si="9"/>
        <v>2.6667000000000058</v>
      </c>
      <c r="J73" s="56" t="str">
        <f t="shared" si="6"/>
        <v/>
      </c>
      <c r="K73" s="56">
        <f t="shared" si="7"/>
        <v>2.6667000000000058</v>
      </c>
      <c r="L73" s="57">
        <f t="shared" si="8"/>
        <v>193658.42070000042</v>
      </c>
      <c r="M73" s="57">
        <f t="shared" si="10"/>
        <v>96829.210350000212</v>
      </c>
      <c r="N73" s="57">
        <f t="shared" si="10"/>
        <v>48414.605175000106</v>
      </c>
      <c r="O73" s="57">
        <f t="shared" si="10"/>
        <v>24207.302587500053</v>
      </c>
    </row>
    <row r="74" spans="4:15" ht="16.5" x14ac:dyDescent="0.2">
      <c r="D74" s="52" t="s">
        <v>113</v>
      </c>
      <c r="E74" s="60" t="s">
        <v>114</v>
      </c>
      <c r="F74" s="58">
        <v>157500</v>
      </c>
      <c r="G74" s="55">
        <f>_xlfn.XLOOKUP(D74,'[1]Inventory Item List'!$A$8:$A$165,'[1]Inventory Item List'!$E$8:$E$165,0)</f>
        <v>0</v>
      </c>
      <c r="H74" s="56">
        <f>_xlfn.XLOOKUP(D74,[2]Sheet1!$A$2:$A$278,[2]Sheet1!$C$2:$C$278,0)</f>
        <v>0</v>
      </c>
      <c r="I74" s="56" t="str">
        <f t="shared" si="9"/>
        <v/>
      </c>
      <c r="J74" s="56" t="str">
        <f t="shared" si="6"/>
        <v/>
      </c>
      <c r="K74" s="56" t="str">
        <f t="shared" si="7"/>
        <v>bal</v>
      </c>
      <c r="L74" s="57">
        <f t="shared" si="8"/>
        <v>0</v>
      </c>
      <c r="M74" s="57">
        <f t="shared" si="10"/>
        <v>0</v>
      </c>
      <c r="N74" s="57">
        <f t="shared" si="10"/>
        <v>0</v>
      </c>
      <c r="O74" s="57">
        <f t="shared" si="10"/>
        <v>0</v>
      </c>
    </row>
    <row r="75" spans="4:15" ht="16.5" x14ac:dyDescent="0.2">
      <c r="D75" s="52" t="s">
        <v>206</v>
      </c>
      <c r="E75" s="60" t="s">
        <v>207</v>
      </c>
      <c r="F75" s="58">
        <v>72621</v>
      </c>
      <c r="G75" s="55">
        <f>_xlfn.XLOOKUP(D75,'[1]Inventory Item List'!$A$8:$A$165,'[1]Inventory Item List'!$E$8:$E$165,0)</f>
        <v>62.5</v>
      </c>
      <c r="H75" s="56">
        <f>_xlfn.XLOOKUP(D75,[2]Sheet1!$A$2:$A$278,[2]Sheet1!$C$2:$C$278,0)</f>
        <v>66</v>
      </c>
      <c r="I75" s="56" t="str">
        <f t="shared" si="9"/>
        <v/>
      </c>
      <c r="J75" s="56">
        <f t="shared" si="6"/>
        <v>3.5</v>
      </c>
      <c r="K75" s="56" t="str">
        <f t="shared" si="7"/>
        <v>sell3.5</v>
      </c>
      <c r="L75" s="57">
        <f t="shared" si="8"/>
        <v>0</v>
      </c>
      <c r="M75" s="57">
        <f t="shared" si="10"/>
        <v>0</v>
      </c>
      <c r="N75" s="57">
        <f t="shared" si="10"/>
        <v>0</v>
      </c>
      <c r="O75" s="57">
        <f t="shared" si="10"/>
        <v>0</v>
      </c>
    </row>
    <row r="76" spans="4:15" ht="16.5" x14ac:dyDescent="0.2">
      <c r="D76" s="52" t="s">
        <v>101</v>
      </c>
      <c r="E76" s="60" t="s">
        <v>208</v>
      </c>
      <c r="F76" s="58">
        <v>210526.93</v>
      </c>
      <c r="G76" s="55">
        <f>_xlfn.XLOOKUP(D76,'[1]Inventory Item List'!$A$8:$A$165,'[1]Inventory Item List'!$E$8:$E$165,0)</f>
        <v>16.875</v>
      </c>
      <c r="H76" s="56">
        <f>_xlfn.XLOOKUP(D76,[2]Sheet1!$A$2:$A$278,[2]Sheet1!$C$2:$C$278,0)</f>
        <v>19</v>
      </c>
      <c r="I76" s="56" t="str">
        <f t="shared" si="9"/>
        <v/>
      </c>
      <c r="J76" s="56">
        <f t="shared" si="6"/>
        <v>2.125</v>
      </c>
      <c r="K76" s="56" t="str">
        <f t="shared" si="7"/>
        <v>sell2.125</v>
      </c>
      <c r="L76" s="57">
        <f t="shared" si="8"/>
        <v>0</v>
      </c>
      <c r="M76" s="57">
        <f t="shared" si="10"/>
        <v>0</v>
      </c>
      <c r="N76" s="57">
        <f t="shared" si="10"/>
        <v>0</v>
      </c>
      <c r="O76" s="57">
        <f t="shared" si="10"/>
        <v>0</v>
      </c>
    </row>
    <row r="77" spans="4:15" ht="16.5" x14ac:dyDescent="0.2">
      <c r="D77" s="52" t="s">
        <v>95</v>
      </c>
      <c r="E77" s="60" t="s">
        <v>96</v>
      </c>
      <c r="F77" s="58">
        <v>157500</v>
      </c>
      <c r="G77" s="55">
        <f>_xlfn.XLOOKUP(D77,'[1]Inventory Item List'!$A$8:$A$165,'[1]Inventory Item List'!$E$8:$E$165,0)</f>
        <v>39.622599999999998</v>
      </c>
      <c r="H77" s="56">
        <f>_xlfn.XLOOKUP(D77,[2]Sheet1!$A$2:$A$278,[2]Sheet1!$C$2:$C$278,0)</f>
        <v>39</v>
      </c>
      <c r="I77" s="56">
        <f t="shared" si="9"/>
        <v>0.62259999999999849</v>
      </c>
      <c r="J77" s="56" t="str">
        <f t="shared" si="6"/>
        <v/>
      </c>
      <c r="K77" s="56">
        <f t="shared" si="7"/>
        <v>0.62259999999999849</v>
      </c>
      <c r="L77" s="57">
        <f t="shared" si="8"/>
        <v>98059.499999999767</v>
      </c>
      <c r="M77" s="57">
        <f t="shared" si="10"/>
        <v>49029.749999999884</v>
      </c>
      <c r="N77" s="57"/>
      <c r="O77" s="57"/>
    </row>
    <row r="78" spans="4:15" ht="16.5" x14ac:dyDescent="0.2">
      <c r="D78" s="52" t="s">
        <v>209</v>
      </c>
      <c r="E78" s="60" t="s">
        <v>210</v>
      </c>
      <c r="F78" s="58">
        <v>72144</v>
      </c>
      <c r="G78" s="55">
        <f>_xlfn.XLOOKUP(D78,'[1]Inventory Item List'!$A$8:$A$165,'[1]Inventory Item List'!$E$8:$E$165,0)</f>
        <v>0</v>
      </c>
      <c r="H78" s="56">
        <f>_xlfn.XLOOKUP(D78,[2]Sheet1!$A$2:$A$278,[2]Sheet1!$C$2:$C$278,0)</f>
        <v>0</v>
      </c>
      <c r="I78" s="56" t="str">
        <f t="shared" si="9"/>
        <v/>
      </c>
      <c r="J78" s="56" t="str">
        <f t="shared" si="6"/>
        <v/>
      </c>
      <c r="K78" s="56" t="str">
        <f t="shared" si="7"/>
        <v>bal</v>
      </c>
      <c r="L78" s="57">
        <f t="shared" si="8"/>
        <v>0</v>
      </c>
      <c r="M78" s="57">
        <f t="shared" si="10"/>
        <v>0</v>
      </c>
      <c r="N78" s="57"/>
      <c r="O78" s="57"/>
    </row>
    <row r="79" spans="4:15" ht="16.5" x14ac:dyDescent="0.2">
      <c r="D79" s="52" t="s">
        <v>97</v>
      </c>
      <c r="E79" s="60" t="s">
        <v>98</v>
      </c>
      <c r="F79" s="58">
        <v>69045</v>
      </c>
      <c r="G79" s="55">
        <f>_xlfn.XLOOKUP(D79,'[1]Inventory Item List'!$A$8:$A$165,'[1]Inventory Item List'!$E$8:$E$165,0)</f>
        <v>50.75</v>
      </c>
      <c r="H79" s="56">
        <f>_xlfn.XLOOKUP(D79,[2]Sheet1!$A$2:$A$278,[2]Sheet1!$C$2:$C$278,0)</f>
        <v>17</v>
      </c>
      <c r="I79" s="56">
        <f t="shared" si="9"/>
        <v>33.75</v>
      </c>
      <c r="J79" s="56" t="str">
        <f t="shared" si="6"/>
        <v/>
      </c>
      <c r="K79" s="56">
        <f t="shared" si="7"/>
        <v>33.75</v>
      </c>
      <c r="L79" s="57">
        <f t="shared" si="8"/>
        <v>2330268.75</v>
      </c>
      <c r="M79" s="57">
        <f t="shared" si="10"/>
        <v>1165134.375</v>
      </c>
      <c r="N79" s="57"/>
      <c r="O79" s="57"/>
    </row>
    <row r="80" spans="4:15" ht="16.5" x14ac:dyDescent="0.2">
      <c r="D80" s="52" t="s">
        <v>99</v>
      </c>
      <c r="E80" s="60" t="s">
        <v>100</v>
      </c>
      <c r="F80" s="58">
        <v>72144</v>
      </c>
      <c r="G80" s="55">
        <f>_xlfn.XLOOKUP(D80,'[1]Inventory Item List'!$A$8:$A$165,'[1]Inventory Item List'!$E$8:$E$165,0)</f>
        <v>109.83580000000001</v>
      </c>
      <c r="H80" s="56">
        <f>_xlfn.XLOOKUP(D80,[2]Sheet1!$A$2:$A$278,[2]Sheet1!$C$2:$C$278,0)</f>
        <v>100</v>
      </c>
      <c r="I80" s="56">
        <f t="shared" si="9"/>
        <v>9.8358000000000061</v>
      </c>
      <c r="J80" s="56" t="str">
        <f t="shared" si="6"/>
        <v/>
      </c>
      <c r="K80" s="56">
        <f t="shared" si="7"/>
        <v>9.8358000000000061</v>
      </c>
      <c r="L80" s="57">
        <f t="shared" si="8"/>
        <v>709593.95520000043</v>
      </c>
      <c r="M80" s="57">
        <f t="shared" si="10"/>
        <v>354796.97760000022</v>
      </c>
      <c r="N80" s="57"/>
      <c r="O80" s="57"/>
    </row>
    <row r="81" spans="4:15" ht="16.5" x14ac:dyDescent="0.2">
      <c r="D81" s="52" t="s">
        <v>103</v>
      </c>
      <c r="E81" s="60" t="s">
        <v>211</v>
      </c>
      <c r="F81" s="58">
        <v>210526.93</v>
      </c>
      <c r="G81" s="55">
        <f>_xlfn.XLOOKUP(D81,'[1]Inventory Item List'!$A$8:$A$165,'[1]Inventory Item List'!$E$8:$E$165,0)</f>
        <v>4.75</v>
      </c>
      <c r="H81" s="56">
        <f>_xlfn.XLOOKUP(D81,[2]Sheet1!$A$2:$A$278,[2]Sheet1!$C$2:$C$278,0)</f>
        <v>5</v>
      </c>
      <c r="I81" s="56" t="str">
        <f t="shared" si="9"/>
        <v/>
      </c>
      <c r="J81" s="56">
        <f t="shared" si="6"/>
        <v>0.25</v>
      </c>
      <c r="K81" s="56" t="str">
        <f t="shared" si="7"/>
        <v>sell0.25</v>
      </c>
      <c r="L81" s="57">
        <f t="shared" si="8"/>
        <v>0</v>
      </c>
      <c r="M81" s="57">
        <f t="shared" si="10"/>
        <v>0</v>
      </c>
      <c r="N81" s="57"/>
      <c r="O81" s="57"/>
    </row>
    <row r="82" spans="4:15" ht="16.5" x14ac:dyDescent="0.2">
      <c r="D82" s="52" t="s">
        <v>105</v>
      </c>
      <c r="E82" s="60" t="s">
        <v>212</v>
      </c>
      <c r="F82" s="58">
        <v>210526.93</v>
      </c>
      <c r="G82" s="55">
        <f>_xlfn.XLOOKUP(D82,'[1]Inventory Item List'!$A$8:$A$165,'[1]Inventory Item List'!$E$8:$E$165,0)</f>
        <v>8.6250999999999998</v>
      </c>
      <c r="H82" s="56">
        <f>_xlfn.XLOOKUP(D82,[2]Sheet1!$A$2:$A$278,[2]Sheet1!$C$2:$C$278,0)</f>
        <v>6</v>
      </c>
      <c r="I82" s="56">
        <f t="shared" si="9"/>
        <v>2.6250999999999998</v>
      </c>
      <c r="J82" s="56" t="str">
        <f t="shared" si="6"/>
        <v/>
      </c>
      <c r="K82" s="56">
        <f t="shared" si="7"/>
        <v>2.6250999999999998</v>
      </c>
      <c r="L82" s="57">
        <f t="shared" si="8"/>
        <v>552654.24394299998</v>
      </c>
      <c r="M82" s="57">
        <f t="shared" si="10"/>
        <v>276327.12197149999</v>
      </c>
      <c r="N82" s="57"/>
      <c r="O82" s="57"/>
    </row>
    <row r="83" spans="4:15" ht="16.5" x14ac:dyDescent="0.2">
      <c r="D83" s="52" t="s">
        <v>107</v>
      </c>
      <c r="E83" s="60" t="s">
        <v>213</v>
      </c>
      <c r="F83" s="58">
        <v>210526.93</v>
      </c>
      <c r="G83" s="55">
        <f>_xlfn.XLOOKUP(D83,'[1]Inventory Item List'!$A$8:$A$165,'[1]Inventory Item List'!$E$8:$E$165,0)</f>
        <v>9</v>
      </c>
      <c r="H83" s="56">
        <f>_xlfn.XLOOKUP(D83,[2]Sheet1!$A$2:$A$278,[2]Sheet1!$C$2:$C$278,0)</f>
        <v>8</v>
      </c>
      <c r="I83" s="56">
        <f t="shared" si="9"/>
        <v>1</v>
      </c>
      <c r="J83" s="56" t="str">
        <f t="shared" si="6"/>
        <v/>
      </c>
      <c r="K83" s="56">
        <f t="shared" si="7"/>
        <v>1</v>
      </c>
      <c r="L83" s="57">
        <f t="shared" si="8"/>
        <v>210526.93</v>
      </c>
      <c r="M83" s="57">
        <f t="shared" si="10"/>
        <v>105263.465</v>
      </c>
      <c r="N83" s="57">
        <f t="shared" si="10"/>
        <v>52631.732499999998</v>
      </c>
      <c r="O83" s="57">
        <f t="shared" si="10"/>
        <v>26315.866249999999</v>
      </c>
    </row>
    <row r="84" spans="4:15" ht="16.5" x14ac:dyDescent="0.2">
      <c r="D84" s="52" t="s">
        <v>109</v>
      </c>
      <c r="E84" s="60" t="s">
        <v>214</v>
      </c>
      <c r="F84" s="58">
        <v>210526.93</v>
      </c>
      <c r="G84" s="55">
        <f>_xlfn.XLOOKUP(D84,'[1]Inventory Item List'!$A$8:$A$165,'[1]Inventory Item List'!$E$8:$E$165,0)</f>
        <v>27.875</v>
      </c>
      <c r="H84" s="56">
        <f>_xlfn.XLOOKUP(D84,[2]Sheet1!$A$2:$A$278,[2]Sheet1!$C$2:$C$278,0)</f>
        <v>26</v>
      </c>
      <c r="I84" s="56">
        <f t="shared" si="9"/>
        <v>1.875</v>
      </c>
      <c r="J84" s="56" t="str">
        <f t="shared" si="6"/>
        <v/>
      </c>
      <c r="K84" s="56">
        <f t="shared" si="7"/>
        <v>1.875</v>
      </c>
      <c r="L84" s="57">
        <f t="shared" si="8"/>
        <v>394737.99374999997</v>
      </c>
      <c r="M84" s="57">
        <f t="shared" si="10"/>
        <v>197368.99687499998</v>
      </c>
      <c r="N84" s="57">
        <f t="shared" si="10"/>
        <v>98684.498437499991</v>
      </c>
      <c r="O84" s="57">
        <f t="shared" si="10"/>
        <v>49342.249218749996</v>
      </c>
    </row>
    <row r="85" spans="4:15" ht="17.25" thickBot="1" x14ac:dyDescent="0.25">
      <c r="D85" s="52" t="s">
        <v>111</v>
      </c>
      <c r="E85" s="60" t="s">
        <v>215</v>
      </c>
      <c r="F85" s="58">
        <v>210526.93</v>
      </c>
      <c r="G85" s="55">
        <f>_xlfn.XLOOKUP(D85,'[1]Inventory Item List'!$A$8:$A$165,'[1]Inventory Item List'!$E$8:$E$165,0)</f>
        <v>1.375</v>
      </c>
      <c r="H85" s="56">
        <f>_xlfn.XLOOKUP(D85,[2]Sheet1!$A$2:$A$278,[2]Sheet1!$C$2:$C$278,0)</f>
        <v>1</v>
      </c>
      <c r="I85" s="56">
        <f t="shared" si="9"/>
        <v>0.375</v>
      </c>
      <c r="J85" s="56" t="str">
        <f t="shared" si="6"/>
        <v/>
      </c>
      <c r="K85" s="56">
        <f t="shared" si="7"/>
        <v>0.375</v>
      </c>
      <c r="L85" s="57">
        <f t="shared" si="8"/>
        <v>78947.598750000005</v>
      </c>
      <c r="M85" s="57">
        <f t="shared" si="10"/>
        <v>39473.799375000002</v>
      </c>
      <c r="N85" s="57">
        <f t="shared" si="10"/>
        <v>19736.899687500001</v>
      </c>
      <c r="O85" s="57">
        <f t="shared" si="10"/>
        <v>9868.4498437500006</v>
      </c>
    </row>
    <row r="86" spans="4:15" ht="15.75" thickBot="1" x14ac:dyDescent="0.25">
      <c r="D86" s="61"/>
      <c r="E86" s="62" t="s">
        <v>117</v>
      </c>
      <c r="F86" s="63"/>
      <c r="G86" s="64">
        <f>SUM(G4:G85)</f>
        <v>13132.977199999998</v>
      </c>
      <c r="H86" s="64">
        <f>SUM(H4:H85)</f>
        <v>10448</v>
      </c>
      <c r="I86" s="40">
        <f>SUM(I4:I85)</f>
        <v>3485.8614000000007</v>
      </c>
      <c r="J86" s="64">
        <f>SUM(J4:J85)</f>
        <v>800.88419999999996</v>
      </c>
      <c r="K86" s="65"/>
      <c r="L86" s="64">
        <f>SUM(L4:L85)</f>
        <v>105899958.96334302</v>
      </c>
      <c r="M86" s="64">
        <f>SUM(M4:M85)</f>
        <v>52949979.481671512</v>
      </c>
      <c r="N86" s="64">
        <f>SUM(N4:N85)</f>
        <v>25552345.628550004</v>
      </c>
      <c r="O86" s="64">
        <f>SUM(O4:O85)</f>
        <v>12776172.814275002</v>
      </c>
    </row>
    <row r="87" spans="4:15" ht="15.75" thickBot="1" x14ac:dyDescent="0.25">
      <c r="D87" s="61"/>
      <c r="E87" s="62" t="s">
        <v>118</v>
      </c>
      <c r="F87" s="66"/>
      <c r="G87" s="67"/>
      <c r="H87" s="68"/>
      <c r="I87" s="40">
        <f>SUMPRODUCT(F4:F85,I4:I85)</f>
        <v>105899958.96334302</v>
      </c>
      <c r="J87" s="64">
        <f>SUMPRODUCT(F4:F85,J4:J85)</f>
        <v>22674598.034450002</v>
      </c>
      <c r="K87" s="69"/>
      <c r="L87" s="61"/>
      <c r="M87" s="61"/>
      <c r="N87" s="61"/>
      <c r="O87" s="61"/>
    </row>
  </sheetData>
  <mergeCells count="2">
    <mergeCell ref="D2:E2"/>
    <mergeCell ref="M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KETU 18-SEP-26          </vt:lpstr>
      <vt:lpstr>LEKKI 18-SEP-26    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shogeke Bose E</dc:creator>
  <cp:lastModifiedBy>shogeke Bose E</cp:lastModifiedBy>
  <dcterms:created xsi:type="dcterms:W3CDTF">2026-09-18T17:31:40Z</dcterms:created>
  <dcterms:modified xsi:type="dcterms:W3CDTF">2026-09-18T17:48:53Z</dcterms:modified>
</cp:coreProperties>
</file>